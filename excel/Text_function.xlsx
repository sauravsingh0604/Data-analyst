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v singh\Desktop\Excel\"/>
    </mc:Choice>
  </mc:AlternateContent>
  <xr:revisionPtr revIDLastSave="0" documentId="13_ncr:1_{21C7BB9C-71B7-4FF6-8692-1E9F0439C4C5}" xr6:coauthVersionLast="47" xr6:coauthVersionMax="47" xr10:uidLastSave="{00000000-0000-0000-0000-000000000000}"/>
  <bookViews>
    <workbookView xWindow="-108" yWindow="-108" windowWidth="23256" windowHeight="12456" xr2:uid="{223089A0-3914-4083-969C-5F0BA56C8D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1" l="1"/>
  <c r="H24" i="1"/>
  <c r="H28" i="1"/>
  <c r="H16" i="1"/>
  <c r="H20" i="1"/>
  <c r="B35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6" i="1"/>
  <c r="B37" i="1"/>
  <c r="B39" i="1"/>
  <c r="T3" i="1"/>
  <c r="S2" i="1"/>
  <c r="Q3" i="1"/>
  <c r="Q5" i="1"/>
  <c r="O3" i="1"/>
  <c r="O4" i="1"/>
  <c r="O2" i="1"/>
  <c r="N3" i="1"/>
  <c r="N4" i="1"/>
  <c r="K3" i="1"/>
  <c r="M3" i="1" s="1"/>
  <c r="J3" i="1"/>
  <c r="G4" i="1"/>
  <c r="J4" i="1" s="1"/>
  <c r="K4" i="1" s="1"/>
  <c r="G2" i="1"/>
  <c r="J2" i="1" s="1"/>
  <c r="K2" i="1" s="1"/>
  <c r="F3" i="1"/>
  <c r="F4" i="1"/>
  <c r="F5" i="1"/>
  <c r="F2" i="1"/>
  <c r="E2" i="1"/>
  <c r="E3" i="1"/>
  <c r="E4" i="1"/>
  <c r="E5" i="1"/>
  <c r="D3" i="1"/>
  <c r="D4" i="1"/>
  <c r="D5" i="1"/>
  <c r="D2" i="1"/>
  <c r="C3" i="1"/>
  <c r="C4" i="1"/>
  <c r="P3" i="1" s="1"/>
  <c r="C5" i="1"/>
  <c r="C2" i="1"/>
  <c r="B3" i="1"/>
  <c r="G3" i="1" s="1"/>
  <c r="B4" i="1"/>
  <c r="B5" i="1"/>
  <c r="G5" i="1" s="1"/>
  <c r="B2" i="1"/>
  <c r="Q4" i="1" l="1"/>
  <c r="M4" i="1"/>
  <c r="L4" i="1"/>
  <c r="M2" i="1"/>
  <c r="L2" i="1"/>
  <c r="Q2" i="1"/>
  <c r="I4" i="1"/>
  <c r="L3" i="1"/>
  <c r="H4" i="1"/>
</calcChain>
</file>

<file path=xl/sharedStrings.xml><?xml version="1.0" encoding="utf-8"?>
<sst xmlns="http://schemas.openxmlformats.org/spreadsheetml/2006/main" count="138" uniqueCount="108">
  <si>
    <t>Raw Data</t>
  </si>
  <si>
    <t>saurav singh</t>
  </si>
  <si>
    <t>SAURAV123</t>
  </si>
  <si>
    <t>saurav@gmail.com</t>
  </si>
  <si>
    <t>delhi india</t>
  </si>
  <si>
    <t>TRIM</t>
  </si>
  <si>
    <t>CLEAN</t>
  </si>
  <si>
    <t>LEFT</t>
  </si>
  <si>
    <t>RIGHT</t>
  </si>
  <si>
    <t>MID</t>
  </si>
  <si>
    <t>PROPER</t>
  </si>
  <si>
    <t>LEFT+FIND</t>
  </si>
  <si>
    <t>FIND</t>
  </si>
  <si>
    <t>UPPER</t>
  </si>
  <si>
    <t>Lower</t>
  </si>
  <si>
    <t>LEN</t>
  </si>
  <si>
    <t>SEARCH</t>
  </si>
  <si>
    <t>CONCAT</t>
  </si>
  <si>
    <t>TEXTJOIN</t>
  </si>
  <si>
    <t>SUBSTITUTE</t>
  </si>
  <si>
    <t>REPLACE</t>
  </si>
  <si>
    <t>VALUE</t>
  </si>
  <si>
    <t>TEXT</t>
  </si>
  <si>
    <t>NOTE:</t>
  </si>
  <si>
    <t>1.CONCAT simply combines values, while TEXTJOIN allows a delimiter and can ignore empty cells, making it more flexible for real-world data.</t>
  </si>
  <si>
    <t>2.Formatting changes only how it looks; functions like VALUE, TEXT, SUBSTITUTE, REPLACE are required to actually convert or clean data for calculations.</t>
  </si>
  <si>
    <t>Function</t>
  </si>
  <si>
    <t>Syntax</t>
  </si>
  <si>
    <t>Purpose / Use Case</t>
  </si>
  <si>
    <t>Example</t>
  </si>
  <si>
    <t>Output</t>
  </si>
  <si>
    <t>Remove extra spaces (leading, trailing, multiple spaces)</t>
  </si>
  <si>
    <t>" Saurav Singh "</t>
  </si>
  <si>
    <t>"Saurav Singh"</t>
  </si>
  <si>
    <t>Remove non-printable characters</t>
  </si>
  <si>
    <t>"Hello"&amp;CHAR(7)</t>
  </si>
  <si>
    <t>"Hello"</t>
  </si>
  <si>
    <t>Extract first N characters</t>
  </si>
  <si>
    <t>"Saurav"</t>
  </si>
  <si>
    <t>"Saur"</t>
  </si>
  <si>
    <t>Extract last N characters</t>
  </si>
  <si>
    <t>"rav"</t>
  </si>
  <si>
    <t>Extract N chars from middle</t>
  </si>
  <si>
    <t>"aur"</t>
  </si>
  <si>
    <t>Capitalize first letter of each word</t>
  </si>
  <si>
    <t>"saurav singh"</t>
  </si>
  <si>
    <t>Convert text to uppercase</t>
  </si>
  <si>
    <t>"SAURAV"</t>
  </si>
  <si>
    <t>LOWER</t>
  </si>
  <si>
    <t>Convert text to lowercase</t>
  </si>
  <si>
    <t>"saurav"</t>
  </si>
  <si>
    <t>Count number of characters</t>
  </si>
  <si>
    <t>Find position of character (case sensitive)</t>
  </si>
  <si>
    <t>Find position of character (case insensitive)</t>
  </si>
  <si>
    <t>CONCAT / CONCATENATE</t>
  </si>
  <si>
    <t>Join text</t>
  </si>
  <si>
    <t>"Saurav","Singh"</t>
  </si>
  <si>
    <t>"SauravSingh"</t>
  </si>
  <si>
    <t>Join with delimiter, ignore blanks</t>
  </si>
  <si>
    <t>"Saurav","","Singh"</t>
  </si>
  <si>
    <t>Replace text by matching string</t>
  </si>
  <si>
    <t>"Saurav+Singh"</t>
  </si>
  <si>
    <t>Replace text by position</t>
  </si>
  <si>
    <t>"SXXXav"</t>
  </si>
  <si>
    <t>Format number/date as text</t>
  </si>
  <si>
    <t>"100.00"</t>
  </si>
  <si>
    <t>Convert text → number</t>
  </si>
  <si>
    <t>"123"</t>
  </si>
  <si>
    <t>REPT</t>
  </si>
  <si>
    <t>Repeat text N times</t>
  </si>
  <si>
    <t>"Hi"</t>
  </si>
  <si>
    <t>"HiHiHi"</t>
  </si>
  <si>
    <t>FIXED</t>
  </si>
  <si>
    <t>Format number as text with decimals, optional commas</t>
  </si>
  <si>
    <t>"1,234.57"</t>
  </si>
  <si>
    <t>EXACT</t>
  </si>
  <si>
    <t>Compare two texts (case sensitive)</t>
  </si>
  <si>
    <t>"Saurav","saurav"</t>
  </si>
  <si>
    <t>CHAR</t>
  </si>
  <si>
    <t>Convert ASCII code → character</t>
  </si>
  <si>
    <t>(line break)</t>
  </si>
  <si>
    <t>CODE</t>
  </si>
  <si>
    <t>Convert first character → ASCII code</t>
  </si>
  <si>
    <t>"A"</t>
  </si>
  <si>
    <t>TEXTSPLIT</t>
  </si>
  <si>
    <t>Split text into rows/columns (Excel 365)</t>
  </si>
  <si>
    <t>`Saurav</t>
  </si>
  <si>
    <t>TEXTBEFORE</t>
  </si>
  <si>
    <t>Text before delimiter</t>
  </si>
  <si>
    <t>TEXTAFTER</t>
  </si>
  <si>
    <t>Text after delimiter</t>
  </si>
  <si>
    <t>"Singh"</t>
  </si>
  <si>
    <t>UNICODE / UNICHAR</t>
  </si>
  <si>
    <r>
      <t>=UNICODE(A2)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  <family val="2"/>
      </rPr>
      <t>=UNICHAR(65)</t>
    </r>
  </si>
  <si>
    <t>Work with Unicode characters</t>
  </si>
  <si>
    <r>
      <t>"A"</t>
    </r>
    <r>
      <rPr>
        <sz val="11"/>
        <color theme="1"/>
        <rFont val="Calibri"/>
        <family val="2"/>
        <scheme val="minor"/>
      </rPr>
      <t xml:space="preserve"> → 65 / 65 → </t>
    </r>
    <r>
      <rPr>
        <sz val="10"/>
        <color theme="1"/>
        <rFont val="Arial Unicode MS"/>
        <family val="2"/>
      </rPr>
      <t>"A"</t>
    </r>
  </si>
  <si>
    <t>65 / "A"</t>
  </si>
  <si>
    <t>T</t>
  </si>
  <si>
    <t>Return text from value</t>
  </si>
  <si>
    <r>
      <t>123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  <family val="2"/>
      </rPr>
      <t>""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  <family val="2"/>
      </rPr>
      <t>"abc"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  <family val="2"/>
      </rPr>
      <t>"abc"</t>
    </r>
  </si>
  <si>
    <t>Text only</t>
  </si>
  <si>
    <t>Pro Tips / Interview Shortcuts</t>
  </si>
  <si>
    <r>
      <t>1. TRIM + CLEAN</t>
    </r>
    <r>
      <rPr>
        <sz val="11"/>
        <color theme="1"/>
        <rFont val="Calibri"/>
        <family val="2"/>
        <scheme val="minor"/>
      </rPr>
      <t xml:space="preserve"> → Always use together for messy imported data</t>
    </r>
  </si>
  <si>
    <r>
      <t>2. LEFT + FIND</t>
    </r>
    <r>
      <rPr>
        <sz val="11"/>
        <color theme="1"/>
        <rFont val="Calibri"/>
        <family val="2"/>
        <scheme val="minor"/>
      </rPr>
      <t xml:space="preserve"> → Extract first name from </t>
    </r>
    <r>
      <rPr>
        <sz val="10"/>
        <color theme="1"/>
        <rFont val="Arial Unicode MS"/>
        <family val="2"/>
      </rPr>
      <t>"Saurav Singh"</t>
    </r>
  </si>
  <si>
    <r>
      <t>3. RIGHT + FIND</t>
    </r>
    <r>
      <rPr>
        <sz val="11"/>
        <color theme="1"/>
        <rFont val="Calibri"/>
        <family val="2"/>
        <scheme val="minor"/>
      </rPr>
      <t xml:space="preserve"> → Extract last name</t>
    </r>
  </si>
  <si>
    <r>
      <t>4. TEXT + VALUE</t>
    </r>
    <r>
      <rPr>
        <sz val="11"/>
        <color theme="1"/>
        <rFont val="Calibri"/>
        <family val="2"/>
        <scheme val="minor"/>
      </rPr>
      <t xml:space="preserve"> → Display formatted number and still calculate</t>
    </r>
  </si>
  <si>
    <r>
      <t>5. SUBSTITUTE + TRIM</t>
    </r>
    <r>
      <rPr>
        <sz val="11"/>
        <color theme="1"/>
        <rFont val="Calibri"/>
        <family val="2"/>
        <scheme val="minor"/>
      </rPr>
      <t xml:space="preserve"> → Remove unwanted characters</t>
    </r>
  </si>
  <si>
    <r>
      <t>6. TEXTSPLIT / TEXTBEFORE / TEXTAFTER</t>
    </r>
    <r>
      <rPr>
        <sz val="11"/>
        <color theme="1"/>
        <rFont val="Calibri"/>
        <family val="2"/>
        <scheme val="minor"/>
      </rPr>
      <t xml:space="preserve"> → Modern Excel parsing for multiple delimiters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</si>
</sst>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Alignment="1"/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8E8B1-CB48-4CF8-8DBA-1D23C3C751C5}">
  <dimension ref="A1:T39"/>
  <sheetViews>
    <sheetView tabSelected="1" workbookViewId="0">
      <selection activeCell="H24" sqref="H24"/>
    </sheetView>
  </sheetViews>
  <sheetFormatPr defaultRowHeight="14.4" x14ac:dyDescent="0.3"/>
  <cols>
    <col min="1" max="1" width="22.88671875" bestFit="1" customWidth="1"/>
    <col min="2" max="2" width="16.6640625" bestFit="1" customWidth="1"/>
    <col min="3" max="3" width="41.44140625" customWidth="1"/>
    <col min="5" max="5" width="8.77734375" bestFit="1" customWidth="1"/>
    <col min="7" max="7" width="17.44140625" bestFit="1" customWidth="1"/>
    <col min="8" max="8" width="76.5546875" bestFit="1" customWidth="1"/>
    <col min="9" max="9" width="9.77734375" bestFit="1" customWidth="1"/>
    <col min="10" max="10" width="19.77734375" bestFit="1" customWidth="1"/>
    <col min="11" max="11" width="16.6640625" bestFit="1" customWidth="1"/>
    <col min="14" max="14" width="15.109375" bestFit="1" customWidth="1"/>
    <col min="15" max="15" width="14.109375" bestFit="1" customWidth="1"/>
    <col min="16" max="16" width="15.33203125" bestFit="1" customWidth="1"/>
    <col min="17" max="17" width="17.33203125" bestFit="1" customWidth="1"/>
    <col min="18" max="18" width="10.33203125" bestFit="1" customWidth="1"/>
    <col min="19" max="19" width="11.21875" bestFit="1" customWidth="1"/>
  </cols>
  <sheetData>
    <row r="1" spans="1:20" x14ac:dyDescent="0.3">
      <c r="A1" s="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12</v>
      </c>
      <c r="I1" t="s">
        <v>11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S1" t="s">
        <v>22</v>
      </c>
      <c r="T1" t="s">
        <v>21</v>
      </c>
    </row>
    <row r="2" spans="1:20" x14ac:dyDescent="0.3">
      <c r="A2" s="2" t="s">
        <v>1</v>
      </c>
      <c r="B2" t="str">
        <f>TRIM(A2)</f>
        <v>saurav singh</v>
      </c>
      <c r="C2" t="str">
        <f>CLEAN(A2)</f>
        <v>saurav singh</v>
      </c>
      <c r="D2" t="str">
        <f>LEFT(A2,6)</f>
        <v>saurav</v>
      </c>
      <c r="E2" t="str">
        <f>RIGHT(B2,6)</f>
        <v xml:space="preserve"> singh</v>
      </c>
      <c r="F2" t="str">
        <f>MID(A2,8,5)</f>
        <v>singh</v>
      </c>
      <c r="G2" t="str">
        <f>PROPER(B2)</f>
        <v>Saurav Singh</v>
      </c>
      <c r="J2" t="str">
        <f>UPPER(G2)</f>
        <v>SAURAV SINGH</v>
      </c>
      <c r="K2" t="str">
        <f>LOWER(J2)</f>
        <v>saurav singh</v>
      </c>
      <c r="L2">
        <f>LEN(K2)</f>
        <v>12</v>
      </c>
      <c r="M2">
        <f>SEARCH("v",K2)</f>
        <v>6</v>
      </c>
      <c r="O2" t="str">
        <f>_xlfn.TEXTJOIN("",TRUE,D2,E2)</f>
        <v>saurav singh</v>
      </c>
      <c r="Q2" t="str">
        <f>REPLACE(K2,1,6,"GAURA")</f>
        <v>GAURA singh</v>
      </c>
      <c r="R2" s="4">
        <v>46105</v>
      </c>
      <c r="S2" t="str">
        <f>TEXT(R2,"DD MMM YYYY")</f>
        <v>24 Mar 2026</v>
      </c>
    </row>
    <row r="3" spans="1:20" x14ac:dyDescent="0.3">
      <c r="A3" s="2" t="s">
        <v>2</v>
      </c>
      <c r="B3" t="str">
        <f t="shared" ref="B3:B5" si="0">TRIM(A3)</f>
        <v>SAURAV123</v>
      </c>
      <c r="C3" t="str">
        <f t="shared" ref="C3:C5" si="1">CLEAN(A3)</f>
        <v>SAURAV123</v>
      </c>
      <c r="D3" t="str">
        <f t="shared" ref="D3:D5" si="2">LEFT(A3,6)</f>
        <v>SAURAV</v>
      </c>
      <c r="E3" t="str">
        <f t="shared" ref="E3:E5" si="3">RIGHT(B3,6)</f>
        <v>RAV123</v>
      </c>
      <c r="F3" t="str">
        <f t="shared" ref="F3:F5" si="4">MID(A3,8,5)</f>
        <v>23</v>
      </c>
      <c r="G3" t="str">
        <f t="shared" ref="G3:G5" si="5">PROPER(B3)</f>
        <v>Saurav123</v>
      </c>
      <c r="J3" t="str">
        <f t="shared" ref="J3:J4" si="6">UPPER(G3)</f>
        <v>SAURAV123</v>
      </c>
      <c r="K3" t="str">
        <f t="shared" ref="K3:K4" si="7">LOWER(J3)</f>
        <v>saurav123</v>
      </c>
      <c r="L3">
        <f t="shared" ref="L3:L4" si="8">LEN(K3)</f>
        <v>9</v>
      </c>
      <c r="M3">
        <f t="shared" ref="M3:M4" si="9">SEARCH("v",K3)</f>
        <v>6</v>
      </c>
      <c r="N3" t="str">
        <f t="shared" ref="N3:N4" si="10">_xlfn.CONCAT(D3,"+",E3)</f>
        <v>SAURAV+RAV123</v>
      </c>
      <c r="O3" t="str">
        <f t="shared" ref="O3:O4" si="11">_xlfn.TEXTJOIN("",TRUE,D3,E3)</f>
        <v>SAURAVRAV123</v>
      </c>
      <c r="P3" t="str">
        <f>SUBSTITUTE(C4,"@"," ")</f>
        <v>saurav gmail.com</v>
      </c>
      <c r="Q3" t="str">
        <f t="shared" ref="Q3:Q5" si="12">REPLACE(K3,1,6,"GAURA")</f>
        <v>GAURA123</v>
      </c>
      <c r="R3">
        <v>456</v>
      </c>
      <c r="T3">
        <f>VALUE(R3)</f>
        <v>456</v>
      </c>
    </row>
    <row r="4" spans="1:20" x14ac:dyDescent="0.3">
      <c r="A4" s="2" t="s">
        <v>3</v>
      </c>
      <c r="B4" t="str">
        <f t="shared" si="0"/>
        <v>saurav@gmail.com</v>
      </c>
      <c r="C4" t="str">
        <f t="shared" si="1"/>
        <v>saurav@gmail.com</v>
      </c>
      <c r="D4" t="str">
        <f t="shared" si="2"/>
        <v>saurav</v>
      </c>
      <c r="E4" t="str">
        <f t="shared" si="3"/>
        <v>il.com</v>
      </c>
      <c r="F4" t="str">
        <f t="shared" si="4"/>
        <v>gmail</v>
      </c>
      <c r="G4" t="str">
        <f t="shared" si="5"/>
        <v>Saurav@Gmail.Com</v>
      </c>
      <c r="H4">
        <f>FIND("@",G4)</f>
        <v>7</v>
      </c>
      <c r="I4" t="str">
        <f>LEFT(G4,FIND("@",G4)-1)</f>
        <v>Saurav</v>
      </c>
      <c r="J4" t="str">
        <f t="shared" si="6"/>
        <v>SAURAV@GMAIL.COM</v>
      </c>
      <c r="K4" t="str">
        <f t="shared" si="7"/>
        <v>saurav@gmail.com</v>
      </c>
      <c r="L4">
        <f t="shared" si="8"/>
        <v>16</v>
      </c>
      <c r="M4">
        <f t="shared" si="9"/>
        <v>6</v>
      </c>
      <c r="N4" t="str">
        <f t="shared" si="10"/>
        <v>saurav+il.com</v>
      </c>
      <c r="O4" t="str">
        <f t="shared" si="11"/>
        <v>sauravil.com</v>
      </c>
      <c r="Q4" t="str">
        <f t="shared" si="12"/>
        <v>GAURA@gmail.com</v>
      </c>
    </row>
    <row r="5" spans="1:20" x14ac:dyDescent="0.3">
      <c r="A5" s="2" t="s">
        <v>4</v>
      </c>
      <c r="B5" t="str">
        <f t="shared" si="0"/>
        <v>delhi india</v>
      </c>
      <c r="C5" t="str">
        <f t="shared" si="1"/>
        <v>delhi india</v>
      </c>
      <c r="D5" t="str">
        <f t="shared" si="2"/>
        <v xml:space="preserve">delhi </v>
      </c>
      <c r="E5" t="str">
        <f t="shared" si="3"/>
        <v xml:space="preserve"> india</v>
      </c>
      <c r="F5" t="str">
        <f t="shared" si="4"/>
        <v>ndia</v>
      </c>
      <c r="G5" t="str">
        <f t="shared" si="5"/>
        <v>Delhi India</v>
      </c>
      <c r="Q5" t="str">
        <f t="shared" si="12"/>
        <v>GAURA</v>
      </c>
    </row>
    <row r="7" spans="1:20" x14ac:dyDescent="0.3">
      <c r="A7" s="6" t="s">
        <v>23</v>
      </c>
      <c r="B7" s="6"/>
      <c r="C7" s="6"/>
    </row>
    <row r="8" spans="1:20" x14ac:dyDescent="0.3">
      <c r="A8" s="5" t="s">
        <v>24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20" x14ac:dyDescent="0.3">
      <c r="A9" s="3" t="s">
        <v>25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2" spans="1:20" ht="31.2" x14ac:dyDescent="0.3">
      <c r="A12" s="7" t="s">
        <v>26</v>
      </c>
      <c r="B12" s="7" t="s">
        <v>27</v>
      </c>
      <c r="C12" s="7" t="s">
        <v>28</v>
      </c>
      <c r="D12" s="7" t="s">
        <v>29</v>
      </c>
      <c r="E12" s="7" t="s">
        <v>30</v>
      </c>
      <c r="G12" s="1"/>
      <c r="H12" s="10" t="s">
        <v>101</v>
      </c>
      <c r="I12" s="1"/>
      <c r="J12" s="1"/>
      <c r="K12" s="1"/>
    </row>
    <row r="13" spans="1:20" ht="30" x14ac:dyDescent="0.3">
      <c r="A13" s="7" t="s">
        <v>5</v>
      </c>
      <c r="B13" s="8" t="str">
        <f>TRIM(A2)</f>
        <v>saurav singh</v>
      </c>
      <c r="C13" s="2" t="s">
        <v>31</v>
      </c>
      <c r="D13" s="8" t="s">
        <v>32</v>
      </c>
      <c r="E13" s="8" t="s">
        <v>33</v>
      </c>
      <c r="G13" s="1"/>
      <c r="H13" s="11"/>
      <c r="I13" s="1"/>
      <c r="J13" s="1"/>
      <c r="K13" s="1"/>
    </row>
    <row r="14" spans="1:20" ht="30" x14ac:dyDescent="0.3">
      <c r="A14" s="7" t="s">
        <v>6</v>
      </c>
      <c r="B14" s="8" t="str">
        <f>CLEAN(A2)</f>
        <v>saurav singh</v>
      </c>
      <c r="C14" s="2" t="s">
        <v>34</v>
      </c>
      <c r="D14" s="8" t="s">
        <v>35</v>
      </c>
      <c r="E14" s="8" t="s">
        <v>36</v>
      </c>
      <c r="G14" s="1"/>
      <c r="H14" s="12" t="s">
        <v>102</v>
      </c>
      <c r="I14" s="1"/>
      <c r="J14" s="1"/>
      <c r="K14" s="1"/>
    </row>
    <row r="15" spans="1:20" ht="15" x14ac:dyDescent="0.3">
      <c r="A15" s="7" t="s">
        <v>7</v>
      </c>
      <c r="B15" s="8" t="str">
        <f>LEFT(A2,4)</f>
        <v>saur</v>
      </c>
      <c r="C15" s="2" t="s">
        <v>37</v>
      </c>
      <c r="D15" s="8" t="s">
        <v>38</v>
      </c>
      <c r="E15" s="8" t="s">
        <v>39</v>
      </c>
      <c r="G15" s="1"/>
      <c r="H15" s="9"/>
      <c r="I15" s="1"/>
      <c r="J15" s="1"/>
      <c r="K15" s="1"/>
    </row>
    <row r="16" spans="1:20" ht="15" x14ac:dyDescent="0.3">
      <c r="A16" s="7" t="s">
        <v>8</v>
      </c>
      <c r="B16" s="8" t="str">
        <f>RIGHT(A2,4)</f>
        <v>ingh</v>
      </c>
      <c r="C16" s="2" t="s">
        <v>40</v>
      </c>
      <c r="D16" s="8" t="s">
        <v>38</v>
      </c>
      <c r="E16" s="8" t="s">
        <v>41</v>
      </c>
      <c r="G16" s="1"/>
      <c r="H16" s="13" t="str">
        <f>TRIM(CLEAN(A2))</f>
        <v>saurav singh</v>
      </c>
      <c r="I16" s="1"/>
      <c r="J16" s="1"/>
      <c r="K16" s="1"/>
    </row>
    <row r="17" spans="1:11" ht="15" x14ac:dyDescent="0.3">
      <c r="A17" s="7" t="s">
        <v>9</v>
      </c>
      <c r="B17" s="8" t="str">
        <f>MID(A2,2,3)</f>
        <v>aur</v>
      </c>
      <c r="C17" s="2" t="s">
        <v>42</v>
      </c>
      <c r="D17" s="8" t="s">
        <v>38</v>
      </c>
      <c r="E17" s="8" t="s">
        <v>43</v>
      </c>
      <c r="G17" s="1"/>
      <c r="H17" s="11"/>
      <c r="I17" s="1"/>
      <c r="J17" s="1"/>
      <c r="K17" s="1"/>
    </row>
    <row r="18" spans="1:11" ht="30" x14ac:dyDescent="0.3">
      <c r="A18" s="7" t="s">
        <v>10</v>
      </c>
      <c r="B18" s="8" t="str">
        <f>PROPER(A2)</f>
        <v>Saurav Singh</v>
      </c>
      <c r="C18" s="2" t="s">
        <v>44</v>
      </c>
      <c r="D18" s="8" t="s">
        <v>45</v>
      </c>
      <c r="E18" s="8" t="s">
        <v>33</v>
      </c>
      <c r="G18" s="1"/>
      <c r="H18" s="12" t="s">
        <v>103</v>
      </c>
      <c r="I18" s="1"/>
      <c r="J18" s="1"/>
      <c r="K18" s="1"/>
    </row>
    <row r="19" spans="1:11" ht="30" x14ac:dyDescent="0.3">
      <c r="A19" s="7" t="s">
        <v>13</v>
      </c>
      <c r="B19" s="8" t="str">
        <f>UPPER(A2)</f>
        <v>SAURAV SINGH</v>
      </c>
      <c r="C19" s="2" t="s">
        <v>46</v>
      </c>
      <c r="D19" s="8" t="s">
        <v>38</v>
      </c>
      <c r="E19" s="8" t="s">
        <v>47</v>
      </c>
      <c r="G19" s="1"/>
      <c r="H19" s="9"/>
      <c r="I19" s="1"/>
      <c r="J19" s="1"/>
      <c r="K19" s="1"/>
    </row>
    <row r="20" spans="1:11" ht="30" x14ac:dyDescent="0.3">
      <c r="A20" s="7" t="s">
        <v>48</v>
      </c>
      <c r="B20" s="8" t="str">
        <f>LOWER(A2)</f>
        <v>saurav singh</v>
      </c>
      <c r="C20" s="2" t="s">
        <v>49</v>
      </c>
      <c r="D20" s="8" t="s">
        <v>47</v>
      </c>
      <c r="E20" s="8" t="s">
        <v>50</v>
      </c>
      <c r="G20" s="1"/>
      <c r="H20" s="13" t="str">
        <f>LEFT(A2,FIND(" ",A2)-1)</f>
        <v>saurav</v>
      </c>
      <c r="I20" s="1"/>
      <c r="J20" s="1"/>
      <c r="K20" s="1"/>
    </row>
    <row r="21" spans="1:11" ht="15" x14ac:dyDescent="0.3">
      <c r="A21" s="7" t="s">
        <v>15</v>
      </c>
      <c r="B21" s="8">
        <f>LEN(A2)</f>
        <v>12</v>
      </c>
      <c r="C21" s="2" t="s">
        <v>51</v>
      </c>
      <c r="D21" s="8" t="s">
        <v>38</v>
      </c>
      <c r="E21" s="8">
        <v>6</v>
      </c>
      <c r="G21" s="1"/>
      <c r="H21" s="11"/>
      <c r="I21" s="1"/>
      <c r="J21" s="1"/>
      <c r="K21" s="1"/>
    </row>
    <row r="22" spans="1:11" ht="15" x14ac:dyDescent="0.3">
      <c r="A22" s="7" t="s">
        <v>12</v>
      </c>
      <c r="B22" s="8">
        <f>FIND("v",A2)</f>
        <v>6</v>
      </c>
      <c r="C22" s="2" t="s">
        <v>52</v>
      </c>
      <c r="D22" s="8" t="s">
        <v>38</v>
      </c>
      <c r="E22" s="8">
        <v>6</v>
      </c>
      <c r="G22" s="1"/>
      <c r="H22" s="12" t="s">
        <v>104</v>
      </c>
      <c r="I22" s="1"/>
      <c r="J22" s="1"/>
      <c r="K22" s="1"/>
    </row>
    <row r="23" spans="1:11" ht="15" x14ac:dyDescent="0.3">
      <c r="A23" s="7" t="s">
        <v>16</v>
      </c>
      <c r="B23" s="8">
        <f>SEARCH("v",A2)</f>
        <v>6</v>
      </c>
      <c r="C23" s="2" t="s">
        <v>53</v>
      </c>
      <c r="D23" s="8" t="s">
        <v>38</v>
      </c>
      <c r="E23" s="8">
        <v>6</v>
      </c>
      <c r="G23" s="1"/>
      <c r="H23" s="9"/>
      <c r="I23" s="1"/>
      <c r="J23" s="1"/>
      <c r="K23" s="1"/>
    </row>
    <row r="24" spans="1:11" ht="30" x14ac:dyDescent="0.3">
      <c r="A24" s="7" t="s">
        <v>54</v>
      </c>
      <c r="B24" s="8" t="str">
        <f>_xlfn.CONCAT(A2,B2)</f>
        <v>saurav singhsaurav singh</v>
      </c>
      <c r="C24" s="2" t="s">
        <v>55</v>
      </c>
      <c r="D24" s="8" t="s">
        <v>56</v>
      </c>
      <c r="E24" s="8" t="s">
        <v>57</v>
      </c>
      <c r="G24" s="1"/>
      <c r="H24" s="13" t="str">
        <f>RIGHT(A2,LEN(A2)-FIND(" ",A2))</f>
        <v>singh</v>
      </c>
      <c r="I24" s="1"/>
      <c r="J24" s="1"/>
      <c r="K24" s="1"/>
    </row>
    <row r="25" spans="1:11" ht="45" x14ac:dyDescent="0.3">
      <c r="A25" s="7" t="s">
        <v>18</v>
      </c>
      <c r="B25" s="8" t="str">
        <f>_xlfn.TEXTJOIN(" ",TRUE,A2:C2)</f>
        <v>saurav singh saurav singh saurav singh</v>
      </c>
      <c r="C25" s="2" t="s">
        <v>58</v>
      </c>
      <c r="D25" s="8" t="s">
        <v>59</v>
      </c>
      <c r="E25" s="8" t="s">
        <v>33</v>
      </c>
      <c r="G25" s="1"/>
      <c r="H25" s="11"/>
      <c r="I25" s="1"/>
      <c r="J25" s="1"/>
      <c r="K25" s="1"/>
    </row>
    <row r="26" spans="1:11" ht="30" x14ac:dyDescent="0.3">
      <c r="A26" s="7" t="s">
        <v>19</v>
      </c>
      <c r="B26" s="8" t="str">
        <f>SUBSTITUTE(A2,"+"," ")</f>
        <v>saurav singh</v>
      </c>
      <c r="C26" s="2" t="s">
        <v>60</v>
      </c>
      <c r="D26" s="8" t="s">
        <v>61</v>
      </c>
      <c r="E26" s="8" t="s">
        <v>33</v>
      </c>
      <c r="G26" s="1"/>
      <c r="H26" s="12" t="s">
        <v>105</v>
      </c>
      <c r="I26" s="1"/>
      <c r="J26" s="1"/>
      <c r="K26" s="1"/>
    </row>
    <row r="27" spans="1:11" ht="30" x14ac:dyDescent="0.3">
      <c r="A27" s="7" t="s">
        <v>20</v>
      </c>
      <c r="B27" s="8" t="str">
        <f>REPLACE(A2,2,3,"XXX")</f>
        <v>sXXXav singh</v>
      </c>
      <c r="C27" s="2" t="s">
        <v>62</v>
      </c>
      <c r="D27" s="8" t="s">
        <v>38</v>
      </c>
      <c r="E27" s="8" t="s">
        <v>63</v>
      </c>
      <c r="G27" s="1"/>
      <c r="H27" s="9"/>
      <c r="I27" s="1"/>
      <c r="J27" s="1"/>
      <c r="K27" s="1"/>
    </row>
    <row r="28" spans="1:11" ht="15" x14ac:dyDescent="0.3">
      <c r="A28" s="7" t="s">
        <v>22</v>
      </c>
      <c r="B28" s="8" t="str">
        <f>TEXT(A2,"0.00")</f>
        <v>saurav singh</v>
      </c>
      <c r="C28" s="2" t="s">
        <v>64</v>
      </c>
      <c r="D28" s="8">
        <v>100</v>
      </c>
      <c r="E28" s="8" t="s">
        <v>65</v>
      </c>
      <c r="G28" s="1"/>
      <c r="H28" s="13">
        <f>VALUE(TEXT(500,"0.00")) + 50</f>
        <v>550</v>
      </c>
      <c r="I28" s="1"/>
      <c r="J28" s="1"/>
      <c r="K28" s="1"/>
    </row>
    <row r="29" spans="1:11" ht="15" x14ac:dyDescent="0.3">
      <c r="A29" s="7" t="s">
        <v>21</v>
      </c>
      <c r="B29" s="8" t="e">
        <f>VALUE(A2)</f>
        <v>#VALUE!</v>
      </c>
      <c r="C29" s="2" t="s">
        <v>66</v>
      </c>
      <c r="D29" s="8" t="s">
        <v>67</v>
      </c>
      <c r="E29" s="8">
        <v>123</v>
      </c>
      <c r="G29" s="1"/>
      <c r="H29" s="11"/>
      <c r="I29" s="1"/>
      <c r="J29" s="1"/>
      <c r="K29" s="1"/>
    </row>
    <row r="30" spans="1:11" ht="45" x14ac:dyDescent="0.3">
      <c r="A30" s="7" t="s">
        <v>68</v>
      </c>
      <c r="B30" s="8" t="str">
        <f>REPT(A2,3)</f>
        <v>saurav singhsaurav singhsaurav singh</v>
      </c>
      <c r="C30" s="2" t="s">
        <v>69</v>
      </c>
      <c r="D30" s="8" t="s">
        <v>70</v>
      </c>
      <c r="E30" s="8" t="s">
        <v>71</v>
      </c>
      <c r="G30" s="1"/>
      <c r="H30" s="12" t="s">
        <v>106</v>
      </c>
      <c r="I30" s="1"/>
      <c r="J30" s="1"/>
      <c r="K30" s="1"/>
    </row>
    <row r="31" spans="1:11" ht="30" x14ac:dyDescent="0.3">
      <c r="A31" s="7" t="s">
        <v>72</v>
      </c>
      <c r="B31" s="8" t="e">
        <f>FIXED(A2,2,TRUE)</f>
        <v>#VALUE!</v>
      </c>
      <c r="C31" s="2" t="s">
        <v>73</v>
      </c>
      <c r="D31" s="8">
        <v>1234.567</v>
      </c>
      <c r="E31" s="8" t="s">
        <v>74</v>
      </c>
      <c r="G31" s="1"/>
      <c r="H31" s="9"/>
      <c r="I31" s="1"/>
      <c r="J31" s="1"/>
      <c r="K31" s="1"/>
    </row>
    <row r="32" spans="1:11" ht="30" x14ac:dyDescent="0.3">
      <c r="A32" s="7" t="s">
        <v>75</v>
      </c>
      <c r="B32" s="8" t="b">
        <f>EXACT(A2,B2)</f>
        <v>1</v>
      </c>
      <c r="C32" s="2" t="s">
        <v>76</v>
      </c>
      <c r="D32" s="8" t="s">
        <v>77</v>
      </c>
      <c r="E32" s="8" t="b">
        <v>0</v>
      </c>
      <c r="G32" s="1"/>
      <c r="H32" s="13" t="str">
        <f>TRIM(SUBSTITUTE(A2,"+"," "))</f>
        <v>saurav singh</v>
      </c>
      <c r="I32" s="1"/>
      <c r="J32" s="1"/>
      <c r="K32" s="1"/>
    </row>
    <row r="33" spans="1:11" ht="30" x14ac:dyDescent="0.3">
      <c r="A33" s="7" t="s">
        <v>78</v>
      </c>
      <c r="B33" s="8" t="str">
        <f>CHAR(10)</f>
        <v xml:space="preserve">
</v>
      </c>
      <c r="C33" s="2" t="s">
        <v>79</v>
      </c>
      <c r="D33" s="8">
        <v>10</v>
      </c>
      <c r="E33" s="2" t="s">
        <v>80</v>
      </c>
      <c r="G33" s="1"/>
      <c r="H33" s="11"/>
      <c r="I33" s="1"/>
      <c r="J33" s="1"/>
      <c r="K33" s="1"/>
    </row>
    <row r="34" spans="1:11" ht="15" x14ac:dyDescent="0.3">
      <c r="A34" s="7" t="s">
        <v>81</v>
      </c>
      <c r="B34" s="8">
        <f>CODE(A2)</f>
        <v>115</v>
      </c>
      <c r="C34" s="2" t="s">
        <v>82</v>
      </c>
      <c r="D34" s="8" t="s">
        <v>83</v>
      </c>
      <c r="E34" s="8">
        <v>65</v>
      </c>
      <c r="G34" s="1"/>
      <c r="H34" s="12" t="s">
        <v>107</v>
      </c>
      <c r="I34" s="1"/>
      <c r="J34" s="1"/>
      <c r="K34" s="1"/>
    </row>
    <row r="35" spans="1:11" ht="30" x14ac:dyDescent="0.3">
      <c r="A35" s="7" t="s">
        <v>84</v>
      </c>
      <c r="B35" s="8" t="e">
        <f ca="1">TEXTSPLIT(A2,"+")</f>
        <v>#NAME?</v>
      </c>
      <c r="C35" s="2" t="s">
        <v>85</v>
      </c>
      <c r="D35" s="8" t="s">
        <v>61</v>
      </c>
      <c r="E35" s="2" t="s">
        <v>86</v>
      </c>
      <c r="G35" s="1"/>
      <c r="H35" s="1"/>
      <c r="I35" s="1"/>
      <c r="J35" s="1"/>
      <c r="K35" s="1"/>
    </row>
    <row r="36" spans="1:11" ht="30" x14ac:dyDescent="0.3">
      <c r="A36" s="7" t="s">
        <v>87</v>
      </c>
      <c r="B36" s="8" t="e">
        <f ca="1">TEXTBEFORE(A2,"+")</f>
        <v>#NAME?</v>
      </c>
      <c r="C36" s="2" t="s">
        <v>88</v>
      </c>
      <c r="D36" s="8" t="s">
        <v>61</v>
      </c>
      <c r="E36" s="8" t="s">
        <v>38</v>
      </c>
      <c r="G36" s="1"/>
      <c r="H36" s="1"/>
      <c r="I36" s="1"/>
      <c r="J36" s="1"/>
      <c r="K36" s="1"/>
    </row>
    <row r="37" spans="1:11" ht="30" x14ac:dyDescent="0.3">
      <c r="A37" s="7" t="s">
        <v>89</v>
      </c>
      <c r="B37" s="8" t="e">
        <f ca="1">TEXTAFTER(A2,"+")</f>
        <v>#NAME?</v>
      </c>
      <c r="C37" s="2" t="s">
        <v>90</v>
      </c>
      <c r="D37" s="8" t="s">
        <v>61</v>
      </c>
      <c r="E37" s="8" t="s">
        <v>91</v>
      </c>
      <c r="G37" s="1"/>
      <c r="H37" s="1"/>
      <c r="I37" s="1"/>
      <c r="J37" s="1"/>
      <c r="K37" s="1"/>
    </row>
    <row r="38" spans="1:11" ht="44.4" x14ac:dyDescent="0.3">
      <c r="A38" s="7" t="s">
        <v>92</v>
      </c>
      <c r="B38" s="8" t="s">
        <v>93</v>
      </c>
      <c r="C38" s="2" t="s">
        <v>94</v>
      </c>
      <c r="D38" s="8" t="s">
        <v>95</v>
      </c>
      <c r="E38" s="2" t="s">
        <v>96</v>
      </c>
      <c r="G38" s="1"/>
      <c r="H38" s="1"/>
      <c r="I38" s="1"/>
      <c r="J38" s="1"/>
      <c r="K38" s="1"/>
    </row>
    <row r="39" spans="1:11" ht="45" x14ac:dyDescent="0.3">
      <c r="A39" s="7" t="s">
        <v>97</v>
      </c>
      <c r="B39" s="8" t="str">
        <f>T(A2)</f>
        <v>saurav singh</v>
      </c>
      <c r="C39" s="2" t="s">
        <v>98</v>
      </c>
      <c r="D39" s="8" t="s">
        <v>99</v>
      </c>
      <c r="E39" s="2" t="s">
        <v>100</v>
      </c>
      <c r="G39" s="1"/>
      <c r="H39" s="1"/>
      <c r="I39" s="1"/>
      <c r="J39" s="1"/>
      <c r="K39" s="1"/>
    </row>
  </sheetData>
  <mergeCells count="3">
    <mergeCell ref="A8:K8"/>
    <mergeCell ref="A7:C7"/>
    <mergeCell ref="A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Singh</dc:creator>
  <cp:lastModifiedBy>Saurav Singh</cp:lastModifiedBy>
  <dcterms:created xsi:type="dcterms:W3CDTF">2026-03-24T16:06:27Z</dcterms:created>
  <dcterms:modified xsi:type="dcterms:W3CDTF">2026-03-24T17:34:02Z</dcterms:modified>
</cp:coreProperties>
</file>
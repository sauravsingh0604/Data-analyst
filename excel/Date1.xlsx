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urav singh\Desktop\Excel\"/>
    </mc:Choice>
  </mc:AlternateContent>
  <xr:revisionPtr revIDLastSave="0" documentId="13_ncr:1_{B9BA895C-7AB5-4716-88BF-6A79275C8417}" xr6:coauthVersionLast="47" xr6:coauthVersionMax="47" xr10:uidLastSave="{00000000-0000-0000-0000-000000000000}"/>
  <bookViews>
    <workbookView xWindow="-108" yWindow="-108" windowWidth="23256" windowHeight="12456" xr2:uid="{442126A9-5858-4408-A404-2C5773E194F7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2" i="1" l="1" a="1"/>
  <c r="O2" i="1" s="1"/>
  <c r="M2" i="1"/>
  <c r="M3" i="1"/>
  <c r="M4" i="1"/>
  <c r="K4" i="1"/>
  <c r="J4" i="1"/>
  <c r="I2" i="1"/>
  <c r="I3" i="1"/>
  <c r="I4" i="1"/>
  <c r="H2" i="1"/>
  <c r="N2" i="1" s="1"/>
  <c r="P2" i="1" s="1"/>
  <c r="H3" i="1"/>
  <c r="N3" i="1" s="1"/>
  <c r="P3" i="1" s="1"/>
  <c r="H4" i="1"/>
  <c r="N4" i="1" s="1"/>
  <c r="P4" i="1" s="1"/>
  <c r="G2" i="1"/>
  <c r="K2" i="1" s="1"/>
  <c r="G3" i="1"/>
  <c r="J3" i="1" s="1"/>
  <c r="G4" i="1"/>
  <c r="L4" i="1" s="1"/>
  <c r="Q2" i="1" l="1"/>
  <c r="Q3" i="1"/>
  <c r="Q4" i="1"/>
  <c r="K3" i="1"/>
  <c r="L3" i="1"/>
  <c r="L2" i="1"/>
  <c r="J2" i="1"/>
  <c r="O4" i="1"/>
  <c r="O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<sst xmlns="http://schemas.openxmlformats.org/spreadsheetml/2006/main" count="23" uniqueCount="23">
  <si>
    <t>ID</t>
  </si>
  <si>
    <t>Name</t>
  </si>
  <si>
    <t>Year</t>
  </si>
  <si>
    <t>Month</t>
  </si>
  <si>
    <t>Day</t>
  </si>
  <si>
    <t>Join_Text</t>
  </si>
  <si>
    <t>Ravi</t>
  </si>
  <si>
    <t>Sita</t>
  </si>
  <si>
    <t>Aman</t>
  </si>
  <si>
    <t>Date</t>
  </si>
  <si>
    <t>TODAY</t>
  </si>
  <si>
    <t>NOW</t>
  </si>
  <si>
    <t>YEAR2</t>
  </si>
  <si>
    <t>MONTH2</t>
  </si>
  <si>
    <t>DAY2</t>
  </si>
  <si>
    <t>DATEVALUE</t>
  </si>
  <si>
    <t>EOMONTH</t>
  </si>
  <si>
    <t>DATEDIF</t>
  </si>
  <si>
    <t>Weekday</t>
  </si>
  <si>
    <r>
      <rPr>
        <b/>
        <sz val="11"/>
        <color theme="1"/>
        <rFont val="Calibri"/>
        <family val="2"/>
        <scheme val="minor"/>
      </rPr>
      <t>WEEKDAY</t>
    </r>
    <r>
      <rPr>
        <sz val="11"/>
        <color theme="1"/>
        <rFont val="Calibri"/>
        <family val="2"/>
        <scheme val="minor"/>
      </rPr>
      <t>(serial_number, [return_type])
| return_type | Result                                 |
| -----------      | -------------------------------------- |
| 1 (default)   | Sunday = 1, Saturday = 7               |
| 2                   | Monday = 1, Sunday = 7 ✅ (most useful) |
| 3                   | Monday = 0, Sunday = 6                 |</t>
    </r>
  </si>
  <si>
    <t>Edate</t>
  </si>
  <si>
    <t>if we want to add and deleted month than we used edate</t>
  </si>
  <si>
    <t>0-current date month
1- next month
-1- previous 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</si>
</sst>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dd/mm/yyyy\ hh:mm:ss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164" fontId="0" fillId="0" borderId="0" xfId="0" applyNumberFormat="1" applyAlignment="1">
      <alignment vertical="center" wrapText="1"/>
    </xf>
    <xf numFmtId="1" fontId="0" fillId="0" borderId="0" xfId="0" applyNumberFormat="1" applyAlignment="1">
      <alignment vertical="center" wrapText="1"/>
    </xf>
    <xf numFmtId="1" fontId="0" fillId="0" borderId="0" xfId="1" applyNumberFormat="1" applyFont="1" applyAlignment="1">
      <alignment vertical="center" wrapText="1"/>
    </xf>
    <xf numFmtId="49" fontId="1" fillId="0" borderId="0" xfId="0" applyNumberFormat="1" applyFont="1" applyAlignment="1">
      <alignment horizontal="center" vertical="center" wrapText="1"/>
    </xf>
    <xf numFmtId="49" fontId="0" fillId="0" borderId="0" xfId="0" applyNumberFormat="1" applyAlignment="1">
      <alignment vertical="center" wrapText="1"/>
    </xf>
    <xf numFmtId="49" fontId="0" fillId="0" borderId="0" xfId="0" applyNumberFormat="1"/>
    <xf numFmtId="0" fontId="0" fillId="0" borderId="0" xfId="0" applyAlignment="1">
      <alignment wrapText="1"/>
    </xf>
    <xf numFmtId="3" fontId="0" fillId="0" borderId="0" xfId="0" applyNumberFormat="1" applyAlignment="1">
      <alignment vertical="center" wrapText="1"/>
    </xf>
    <xf numFmtId="0" fontId="1" fillId="0" borderId="0" xfId="0" applyFont="1" applyAlignment="1">
      <alignment vertical="center" wrapText="1"/>
    </xf>
  </cellXfs>
  <cellStyles count="2">
    <cellStyle name="Comma" xfId="1" builtinId="3"/>
    <cellStyle name="Normal" xfId="0" builtinId="0"/>
  </cellStyles>
  <dxfs count="19">
    <dxf>
      <numFmt numFmtId="0" formatCode="General"/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numFmt numFmtId="1" formatCode="0"/>
      <alignment horizontal="general" vertical="center" textRotation="0" wrapText="1" indent="0" justifyLastLine="0" shrinkToFit="0" readingOrder="0"/>
    </dxf>
    <dxf>
      <numFmt numFmtId="19" formatCode="dd/mm/yyyy"/>
      <alignment horizontal="general" vertical="center" textRotation="0" wrapText="1" indent="0" justifyLastLine="0" shrinkToFit="0" readingOrder="0"/>
    </dxf>
    <dxf>
      <numFmt numFmtId="19" formatCode="dd/mm/yyyy"/>
      <alignment horizontal="general" vertical="center" textRotation="0" wrapText="1" indent="0" justifyLastLine="0" shrinkToFit="0" readingOrder="0"/>
    </dxf>
    <dxf>
      <numFmt numFmtId="1" formatCode="0"/>
      <alignment horizontal="general" vertical="center" textRotation="0" wrapText="1" indent="0" justifyLastLine="0" shrinkToFit="0" readingOrder="0"/>
    </dxf>
    <dxf>
      <numFmt numFmtId="30" formatCode="@"/>
      <alignment horizontal="general" vertical="center" textRotation="0" wrapText="1" indent="0" justifyLastLine="0" shrinkToFit="0" readingOrder="0"/>
    </dxf>
    <dxf>
      <numFmt numFmtId="3" formatCode="#,##0"/>
      <alignment horizontal="general" vertical="center" textRotation="0" wrapText="1" indent="0" justifyLastLine="0" shrinkToFit="0" readingOrder="0"/>
    </dxf>
    <dxf>
      <numFmt numFmtId="164" formatCode="dd/mm/yyyy\ hh:mm:ss"/>
      <alignment horizontal="general" vertical="center" textRotation="0" wrapText="1" indent="0" justifyLastLine="0" shrinkToFit="0" readingOrder="0"/>
    </dxf>
    <dxf>
      <numFmt numFmtId="19" formatCode="dd/mm/yyyy"/>
      <alignment horizontal="general" vertical="center" textRotation="0" wrapText="1" indent="0" justifyLastLine="0" shrinkToFit="0" readingOrder="0"/>
    </dxf>
    <dxf>
      <numFmt numFmtId="19" formatCode="dd/mm/yyyy"/>
      <alignment horizontal="general" vertical="center" textRotation="0" wrapText="1" indent="0" justifyLastLine="0" shrinkToFit="0" readingOrder="0"/>
    </dxf>
    <dxf>
      <numFmt numFmtId="19" formatCode="dd/mm/yyyy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5A3DE20-D9AF-4119-8A73-22AD522EA903}" name="Table1" displayName="Table1" ref="A1:Q5" totalsRowShown="0" headerRowDxfId="18" dataDxfId="17">
  <tableColumns count="17">
    <tableColumn id="1" xr3:uid="{C36F5C89-0888-4499-A94E-DD0BD6594BA0}" name="ID" dataDxfId="16"/>
    <tableColumn id="2" xr3:uid="{2319A296-90FC-46A6-BFD9-602E13E9D013}" name="Name" dataDxfId="15"/>
    <tableColumn id="3" xr3:uid="{A52D67AA-7441-4946-822B-31D383891E82}" name="Year" dataDxfId="14"/>
    <tableColumn id="4" xr3:uid="{0CCA4E25-CF8E-4269-83E2-11F27ABC5C64}" name="Month" dataDxfId="13"/>
    <tableColumn id="5" xr3:uid="{408AA484-2B39-46D8-A922-ED740966215C}" name="Day" dataDxfId="12"/>
    <tableColumn id="6" xr3:uid="{90A7739D-3B21-443E-9EB4-3C9215DBD1F4}" name="Join_Text" dataDxfId="11"/>
    <tableColumn id="7" xr3:uid="{5B1B3E7A-3842-4C1B-9F12-076442888891}" name="Date" dataDxfId="10">
      <calculatedColumnFormula>DATE(C2,D2,E2)</calculatedColumnFormula>
    </tableColumn>
    <tableColumn id="8" xr3:uid="{2BA6F24F-6303-4FCC-B752-97ED21207653}" name="TODAY" dataDxfId="9">
      <calculatedColumnFormula>TODAY()</calculatedColumnFormula>
    </tableColumn>
    <tableColumn id="9" xr3:uid="{52825DC0-1042-466E-85B9-80E584E390E3}" name="NOW" dataDxfId="8">
      <calculatedColumnFormula>NOW()</calculatedColumnFormula>
    </tableColumn>
    <tableColumn id="10" xr3:uid="{578E2551-86C9-44A7-AE2C-41D8471DBF7E}" name="YEAR2" dataDxfId="7">
      <calculatedColumnFormula>YEAR(G2)</calculatedColumnFormula>
    </tableColumn>
    <tableColumn id="11" xr3:uid="{1358AF7D-555B-4AE3-B3C8-5E8FDCBA7BDF}" name="MONTH2" dataDxfId="6">
      <calculatedColumnFormula>MONTH(G2)</calculatedColumnFormula>
    </tableColumn>
    <tableColumn id="12" xr3:uid="{15F3F956-A428-42EB-9409-BA922288395A}" name="DAY2" dataDxfId="5">
      <calculatedColumnFormula>DAY(G2)</calculatedColumnFormula>
    </tableColumn>
    <tableColumn id="13" xr3:uid="{DB9B6346-F9D0-4CE5-981C-E95D6B7096E6}" name="DATEVALUE" dataDxfId="4">
      <calculatedColumnFormula>DATEVALUE(F2)</calculatedColumnFormula>
    </tableColumn>
    <tableColumn id="14" xr3:uid="{2B49951B-BEB5-4D26-AA91-E1A7A504501A}" name="EOMONTH" dataDxfId="3">
      <calculatedColumnFormula>EOMONTH(H2,0)</calculatedColumnFormula>
    </tableColumn>
    <tableColumn id="15" xr3:uid="{EDBBA083-0AF3-4B11-8A03-34741A45EDBC}" name="DATEDIF" dataDxfId="2">
      <calculatedColumnFormula>DATEDIF(F2,H2,"y")</calculatedColumnFormula>
    </tableColumn>
    <tableColumn id="16" xr3:uid="{61E25EB0-9BBC-49CB-9CF9-080F056EBA7A}" name="Weekday" dataDxfId="1">
      <calculatedColumnFormula>WEEKDAY(Table1[[#This Row],[EOMONTH]],2)</calculatedColumnFormula>
    </tableColumn>
    <tableColumn id="17" xr3:uid="{97D13DC7-2D78-4D6E-8C20-73152E94D8DE}" name="Edate" dataDxfId="0">
      <calculatedColumnFormula>EDATE(Table1[[#This Row],[EOMONTH]],3)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60EB7-FEEA-4170-95D0-D9D671D55E33}">
  <dimension ref="A1:Q5"/>
  <sheetViews>
    <sheetView tabSelected="1" workbookViewId="0">
      <selection activeCell="N6" sqref="N6"/>
    </sheetView>
  </sheetViews>
  <sheetFormatPr defaultRowHeight="14.4" x14ac:dyDescent="0.3"/>
  <cols>
    <col min="6" max="6" width="10.77734375" customWidth="1"/>
    <col min="7" max="8" width="10.33203125" bestFit="1" customWidth="1"/>
    <col min="9" max="9" width="18.109375" bestFit="1" customWidth="1"/>
    <col min="11" max="11" width="10.33203125" style="9" bestFit="1" customWidth="1"/>
    <col min="13" max="13" width="16.109375" customWidth="1"/>
    <col min="14" max="15" width="10.33203125" bestFit="1" customWidth="1"/>
    <col min="17" max="17" width="19.21875" customWidth="1"/>
  </cols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9</v>
      </c>
      <c r="H1" s="1" t="s">
        <v>10</v>
      </c>
      <c r="I1" s="1" t="s">
        <v>11</v>
      </c>
      <c r="J1" s="1" t="s">
        <v>12</v>
      </c>
      <c r="K1" s="7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  <c r="Q1" s="1" t="s">
        <v>20</v>
      </c>
    </row>
    <row r="2" spans="1:17" x14ac:dyDescent="0.3">
      <c r="A2" s="2">
        <v>1</v>
      </c>
      <c r="B2" s="2" t="s">
        <v>6</v>
      </c>
      <c r="C2" s="2">
        <v>2024</v>
      </c>
      <c r="D2" s="2">
        <v>3</v>
      </c>
      <c r="E2" s="2">
        <v>25</v>
      </c>
      <c r="F2" s="3">
        <v>45376</v>
      </c>
      <c r="G2" s="3">
        <f>DATE(C2,D2,E2)</f>
        <v>45376</v>
      </c>
      <c r="H2" s="3">
        <f ca="1">TODAY()</f>
        <v>46144</v>
      </c>
      <c r="I2" s="4">
        <f ca="1">NOW()</f>
        <v>46144.814772916667</v>
      </c>
      <c r="J2" s="6">
        <f>YEAR(G2)</f>
        <v>2024</v>
      </c>
      <c r="K2" s="8">
        <f>MONTH(G2)</f>
        <v>3</v>
      </c>
      <c r="L2" s="5">
        <f t="shared" ref="L2:L4" si="0">DAY(G2)</f>
        <v>25</v>
      </c>
      <c r="M2" s="3" t="e">
        <f>DATEVALUE(F2)</f>
        <v>#VALUE!</v>
      </c>
      <c r="N2" s="3">
        <f ca="1">EOMONTH(H2,0)</f>
        <v>46173</v>
      </c>
      <c r="O2" s="5" t="e" cm="1">
        <f t="array" ref="O2">DATEDIF</f>
        <v>#NAME?</v>
      </c>
      <c r="P2" s="2">
        <f ca="1">WEEKDAY(Table1[[#This Row],[EOMONTH]],2)</f>
        <v>7</v>
      </c>
      <c r="Q2" s="3">
        <f ca="1">EDATE(Table1[[#This Row],[EOMONTH]],3)</f>
        <v>46265</v>
      </c>
    </row>
    <row r="3" spans="1:17" x14ac:dyDescent="0.3">
      <c r="A3" s="2">
        <v>2</v>
      </c>
      <c r="B3" s="2" t="s">
        <v>7</v>
      </c>
      <c r="C3" s="2">
        <v>2023</v>
      </c>
      <c r="D3" s="2">
        <v>12</v>
      </c>
      <c r="E3" s="2">
        <v>15</v>
      </c>
      <c r="F3" s="3">
        <v>45275</v>
      </c>
      <c r="G3" s="3">
        <f>DATE(C3,D3,E3)</f>
        <v>45275</v>
      </c>
      <c r="H3" s="3">
        <f ca="1">TODAY()</f>
        <v>46144</v>
      </c>
      <c r="I3" s="4">
        <f ca="1">NOW()</f>
        <v>46144.814772916667</v>
      </c>
      <c r="J3" s="5">
        <f t="shared" ref="J3:J4" si="1">YEAR(G3)</f>
        <v>2023</v>
      </c>
      <c r="K3" s="8">
        <f t="shared" ref="K3:K4" si="2">MONTH(G3)</f>
        <v>12</v>
      </c>
      <c r="L3" s="5">
        <f t="shared" si="0"/>
        <v>15</v>
      </c>
      <c r="M3" s="3" t="e">
        <f t="shared" ref="M3:M4" si="3">DATEVALUE(F3)</f>
        <v>#VALUE!</v>
      </c>
      <c r="N3" s="3">
        <f t="shared" ref="N3:N4" ca="1" si="4">EOMONTH(H3,0)</f>
        <v>46173</v>
      </c>
      <c r="O3" s="5">
        <f t="shared" ref="O2:O4" ca="1" si="5">DATEDIF(F3,H3,"y")</f>
        <v>2</v>
      </c>
      <c r="P3" s="2">
        <f ca="1">WEEKDAY(Table1[[#This Row],[EOMONTH]],2)</f>
        <v>7</v>
      </c>
      <c r="Q3" s="3">
        <f ca="1">EDATE(Table1[[#This Row],[EOMONTH]],3)</f>
        <v>46265</v>
      </c>
    </row>
    <row r="4" spans="1:17" x14ac:dyDescent="0.3">
      <c r="A4" s="2">
        <v>3</v>
      </c>
      <c r="B4" s="2" t="s">
        <v>8</v>
      </c>
      <c r="C4" s="2">
        <v>2025</v>
      </c>
      <c r="D4" s="2">
        <v>1</v>
      </c>
      <c r="E4" s="2">
        <v>5</v>
      </c>
      <c r="F4" s="3">
        <v>45662</v>
      </c>
      <c r="G4" s="3">
        <f>DATE(C4,D4,E4)</f>
        <v>45662</v>
      </c>
      <c r="H4" s="3">
        <f ca="1">TODAY()</f>
        <v>46144</v>
      </c>
      <c r="I4" s="4">
        <f ca="1">NOW()</f>
        <v>46144.814772916667</v>
      </c>
      <c r="J4" s="5">
        <f t="shared" si="1"/>
        <v>2025</v>
      </c>
      <c r="K4" s="8">
        <f t="shared" si="2"/>
        <v>1</v>
      </c>
      <c r="L4" s="5">
        <f t="shared" si="0"/>
        <v>5</v>
      </c>
      <c r="M4" s="3" t="e">
        <f t="shared" si="3"/>
        <v>#VALUE!</v>
      </c>
      <c r="N4" s="3">
        <f t="shared" ca="1" si="4"/>
        <v>46173</v>
      </c>
      <c r="O4" s="5">
        <f t="shared" ca="1" si="5"/>
        <v>1</v>
      </c>
      <c r="P4" s="2">
        <f ca="1">WEEKDAY(Table1[[#This Row],[EOMONTH]],2)</f>
        <v>7</v>
      </c>
      <c r="Q4" s="3">
        <f ca="1">EDATE(Table1[[#This Row],[EOMONTH]],3)</f>
        <v>46265</v>
      </c>
    </row>
    <row r="5" spans="1:17" ht="115.2" x14ac:dyDescent="0.3">
      <c r="A5" s="2"/>
      <c r="B5" s="2"/>
      <c r="C5" s="2"/>
      <c r="D5" s="2"/>
      <c r="E5" s="2"/>
      <c r="F5" s="3"/>
      <c r="G5" s="3"/>
      <c r="H5" s="3"/>
      <c r="I5" s="4"/>
      <c r="J5" s="11"/>
      <c r="K5" s="8"/>
      <c r="L5" s="5"/>
      <c r="M5" s="3"/>
      <c r="N5" s="3" t="s">
        <v>22</v>
      </c>
      <c r="O5" s="5"/>
      <c r="P5" s="2"/>
      <c r="Q5" s="12" t="s">
        <v>21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635A9-4F9D-40AE-82E2-74C48E8AE72D}">
  <dimension ref="A1"/>
  <sheetViews>
    <sheetView workbookViewId="0"/>
  </sheetViews>
  <sheetFormatPr defaultRowHeight="14.4" x14ac:dyDescent="0.3"/>
  <cols>
    <col min="1" max="1" width="93.88671875" customWidth="1"/>
  </cols>
  <sheetData>
    <row r="1" spans="1:1" ht="115.2" x14ac:dyDescent="0.3">
      <c r="A1" s="10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Saurav Singh</dc:creator>
  <cp:lastModifiedBy>Saurav Singh</cp:lastModifiedBy>
  <dcterms:created xsi:type="dcterms:W3CDTF">2026-03-25T05:47:50Z</dcterms:created>
  <dcterms:modified xsi:type="dcterms:W3CDTF">2026-05-02T14:20:59Z</dcterms:modified>
</cp:coreProperties>
</file>
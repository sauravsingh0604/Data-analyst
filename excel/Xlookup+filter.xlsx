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 1" sheetId="1" r:id="rId5"/>
    <sheet state="visible" name="day 2" sheetId="2" r:id="rId6"/>
    <sheet state="visible" name="day 3" sheetId="3" r:id="rId7"/>
    <sheet state="visible" name="day 4" sheetId="4" r:id="rId8"/>
    <sheet state="visible" name="Pivot Table 4" sheetId="5" r:id="rId9"/>
    <sheet state="visible" name="Dashboard" sheetId="6" r:id="rId10"/>
    <sheet state="visible" name="day 5" sheetId="7" r:id="rId11"/>
    <sheet state="visible" name="Pivot Table 5" sheetId="8" r:id="rId12"/>
    <sheet state="visible" name="Pivot Table 3" sheetId="9" r:id="rId13"/>
    <sheet state="visible" name="Pivot Table 2" sheetId="10" r:id="rId14"/>
    <sheet state="visible" name="Pivot Table 1" sheetId="11" r:id="rId15"/>
  </sheets>
  <definedNames>
    <definedName hidden="1" localSheetId="3" name="Z_A43C9A64_3E0F_48F3_8A38_6BF03AC3D5E2_.wvu.FilterData">'day 4'!$A$1:$E$9</definedName>
    <definedName name="SlicerCache_Table_1_Col_3">#N/A</definedName>
    <definedName name="SlicerCache_Table_1_Col_4">#N/A</definedName>
    <definedName name="SlicerCache_Table_1_Col_5">#N/A</definedName>
  </definedNames>
  <calcPr/>
  <customWorkbookViews>
    <customWorkbookView activeSheetId="0" maximized="1" windowHeight="0" windowWidth="0" guid="{A43C9A64-3E0F-48F3-8A38-6BF03AC3D5E2}" name="Filter 1"/>
  </customWorkbookViews>
  <pivotCaches>
    <pivotCache cacheId="0" r:id="rId16"/>
    <pivotCache cacheId="1" r:id="rId17"/>
  </pivotCaches>
  <extLst>
    <ext uri="{46BE6895-7355-4a93-B00E-2C351335B9C9}">
      <x15:slicerCaches>
        <x14:slicerCache r:id="rId18"/>
        <x14:slicerCache r:id="rId19"/>
        <x14:slicerCache r:id="rId20"/>
      </x15:slicerCaches>
    </ext>
  </extLst>
</workbook>
</file>

<file path=xl/sharedStrings.xml><?xml version="1.0" encoding="utf-8"?>
<sst xmlns="http://schemas.openxmlformats.org/spreadsheetml/2006/main" count="221" uniqueCount="84">
  <si>
    <t>ID</t>
  </si>
  <si>
    <t>Name</t>
  </si>
  <si>
    <t>Dept</t>
  </si>
  <si>
    <t>Salary</t>
  </si>
  <si>
    <t>City</t>
  </si>
  <si>
    <t>Alice</t>
  </si>
  <si>
    <t>HR</t>
  </si>
  <si>
    <t>Delhi</t>
  </si>
  <si>
    <t>Bob</t>
  </si>
  <si>
    <t>IT</t>
  </si>
  <si>
    <t>Mumbai</t>
  </si>
  <si>
    <t>Charlie</t>
  </si>
  <si>
    <t>Diana</t>
  </si>
  <si>
    <t>Pune</t>
  </si>
  <si>
    <t>Ethan</t>
  </si>
  <si>
    <t>Question No</t>
  </si>
  <si>
    <t>Question</t>
  </si>
  <si>
    <t>Find all employees in IT department</t>
  </si>
  <si>
    <t>Find employees in IT AND salary &gt; 75000</t>
  </si>
  <si>
    <t>Find Name of highest salary employee</t>
  </si>
  <si>
    <t>Return Top 3 highest salaries</t>
  </si>
  <si>
    <t>Find employees whose name starts with "A" or "E"</t>
  </si>
  <si>
    <t>Find employee from Delhi with highest salary</t>
  </si>
  <si>
    <t>Return entire row of highest salary employee</t>
  </si>
  <si>
    <t>Find department-wise highest salary</t>
  </si>
  <si>
    <t>Jan</t>
  </si>
  <si>
    <t>Feb</t>
  </si>
  <si>
    <t>Mar</t>
  </si>
  <si>
    <t>Apr</t>
  </si>
  <si>
    <t>Find sales of Employee ID 103 in March</t>
  </si>
  <si>
    <t>Find sales of "Bob" in February</t>
  </si>
  <si>
    <t>Return sales based on dynamic ID and Month input</t>
  </si>
  <si>
    <t>Find highest sales in March</t>
  </si>
  <si>
    <t>Find employee name with highest sales in April</t>
  </si>
  <si>
    <t>Return full row of employee with highest sales in Jan</t>
  </si>
  <si>
    <t>Find total sales of Alice (Jan–Apr)</t>
  </si>
  <si>
    <t>Find month with highest sales for Diana</t>
  </si>
  <si>
    <t>Sales</t>
  </si>
  <si>
    <t>Month</t>
  </si>
  <si>
    <t>Total Sales</t>
  </si>
  <si>
    <t>Average sales</t>
  </si>
  <si>
    <t>Highest sales</t>
  </si>
  <si>
    <t>Lowest Sales</t>
  </si>
  <si>
    <t>Rahul</t>
  </si>
  <si>
    <t>Simran</t>
  </si>
  <si>
    <t>Aman</t>
  </si>
  <si>
    <t>Total Sales (KPI)</t>
  </si>
  <si>
    <t>Average Sales</t>
  </si>
  <si>
    <t>Highest Sales</t>
  </si>
  <si>
    <t>Total Sales for IT department</t>
  </si>
  <si>
    <t>Total Sales for selected Month (dropdown based)</t>
  </si>
  <si>
    <t>Top performing employee</t>
  </si>
  <si>
    <t>Department with highest total sales</t>
  </si>
  <si>
    <t>Month with highest sales</t>
  </si>
  <si>
    <t>Count of employees with Sales &gt; 7000</t>
  </si>
  <si>
    <t>Columns</t>
  </si>
  <si>
    <t>Rows</t>
  </si>
  <si>
    <t>Values</t>
  </si>
  <si>
    <t>OrderID</t>
  </si>
  <si>
    <t>Product</t>
  </si>
  <si>
    <t>Category</t>
  </si>
  <si>
    <t>Region</t>
  </si>
  <si>
    <t>Laptop</t>
  </si>
  <si>
    <t>Electronics</t>
  </si>
  <si>
    <t>North</t>
  </si>
  <si>
    <t>Mobile</t>
  </si>
  <si>
    <t>South</t>
  </si>
  <si>
    <t>Shoes</t>
  </si>
  <si>
    <t>Fashion</t>
  </si>
  <si>
    <t>West</t>
  </si>
  <si>
    <t>Tshirt</t>
  </si>
  <si>
    <t>East</t>
  </si>
  <si>
    <t>Total Sales by Category</t>
  </si>
  <si>
    <t>Total Sales by Region</t>
  </si>
  <si>
    <t>Top Selling Product</t>
  </si>
  <si>
    <t>Month with Highest Sales</t>
  </si>
  <si>
    <t>Region with Lowest Sales</t>
  </si>
  <si>
    <t>Total Sales for Electronics in April</t>
  </si>
  <si>
    <t>Count of Orders where Sales &gt; 30000</t>
  </si>
  <si>
    <t>Top 3 Sales Transactions</t>
  </si>
  <si>
    <t>Product with Highest Average Sales</t>
  </si>
  <si>
    <t>MAX of Sales</t>
  </si>
  <si>
    <t>Grand Total</t>
  </si>
  <si>
    <t>SUM of Sales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</si>
</sst>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Font="1"/>
    <xf borderId="0" fillId="2" fontId="2" numFmtId="0" xfId="0" applyAlignment="1" applyFill="1" applyFont="1">
      <alignment readingOrder="0"/>
    </xf>
    <xf borderId="0" fillId="2" fontId="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19" Type="http://schemas.microsoft.com/office/2007/relationships/slicerCache" Target="slicerCaches/slicerCache2.xml"/><Relationship Id="rId6" Type="http://schemas.openxmlformats.org/officeDocument/2006/relationships/worksheet" Target="worksheets/sheet2.xml"/><Relationship Id="rId18" Type="http://schemas.microsoft.com/office/2007/relationships/slicerCache" Target="slicerCaches/slicerCache1.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vs. Dept</a:t>
            </a:r>
          </a:p>
        </c:rich>
      </c:tx>
      <c:overlay val="0"/>
    </c:title>
    <c:plotArea>
      <c:layout/>
      <c:barChart>
        <c:barDir val="col"/>
        <c:grouping val="stacked"/>
        <c:ser>
          <c:idx val="0"/>
          <c:order val="0"/>
          <c:tx>
            <c:strRef>
              <c:f>'Pivot Table 1'!$B$1</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'Pivot Table 1'!$A$2:$A$3</c:f>
            </c:strRef>
          </c:cat>
          <c:val>
            <c:numRef>
              <c:f>'Pivot Table 1'!$B$2:$B$3</c:f>
              <c:numCache/>
            </c:numRef>
          </c:val>
        </c:ser>
        <c:overlap val="100"/>
        <c:axId val="1565030206"/>
        <c:axId val="964936166"/>
      </c:barChart>
      <c:catAx>
        <c:axId val="15650302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Dept</a:t>
                </a:r>
              </a:p>
            </c:rich>
          </c:tx>
          <c:overlay val="0"/>
        </c:title>
        <c:numFmt formatCode="General" sourceLinked="1"/>
        <c:majorTickMark val="none"/>
        <c:minorTickMark val="none"/>
        <c:spPr/>
        <c:txPr>
          <a:bodyPr/>
          <a:lstStyle/>
          <a:p>
            <a:pPr lvl="0">
              <a:defRPr b="0">
                <a:solidFill>
                  <a:srgbClr val="000000"/>
                </a:solidFill>
                <a:latin typeface="+mn-lt"/>
              </a:defRPr>
            </a:pPr>
          </a:p>
        </c:txPr>
        <c:crossAx val="964936166"/>
      </c:catAx>
      <c:valAx>
        <c:axId val="9649361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5030206"/>
      </c:valAx>
    </c:plotArea>
    <c:legend>
      <c:legendPos val="r"/>
      <c:overlay val="0"/>
      <c:txPr>
        <a:bodyPr/>
        <a:lstStyle/>
        <a:p>
          <a:pPr lvl="0">
            <a:defRPr b="0">
              <a:solidFill>
                <a:srgbClr val="1A1A1A"/>
              </a:solidFill>
              <a:latin typeface="+mn-lt"/>
            </a:defRPr>
          </a:pPr>
        </a:p>
      </c:txPr>
    </c:legend>
    <c:plotVisOnly val="1"/>
  </c:chart>
</c:chartSpace>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7</xdr:row>
      <xdr:rowOff>104775</xdr:rowOff>
    </xdr:from>
    <xdr:ext cx="2857500" cy="2857500"/>
    <mc:AlternateContent>
      <mc:Choice Requires="sle15">
        <xdr:graphicFrame>
          <xdr:nvGraphicFramePr>
            <xdr:cNvPr id="1" name="Dept_1"/>
            <xdr:cNvGraphicFramePr/>
          </xdr:nvGraphicFramePr>
          <xdr:xfrm>
            <a:off x="0" y="0"/>
            <a:ext cx="0" cy="0"/>
          </xdr:xfrm>
          <a:graphic>
            <a:graphicData uri="http://schemas.microsoft.com/office/drawing/2010/slicer">
              <x3Unk:slicer name="Dep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133350</xdr:colOff>
      <xdr:row>2</xdr:row>
      <xdr:rowOff>38100</xdr:rowOff>
    </xdr:from>
    <xdr:ext cx="2857500" cy="2857500"/>
    <mc:AlternateContent>
      <mc:Choice Requires="sle15">
        <xdr:graphicFrame>
          <xdr:nvGraphicFramePr>
            <xdr:cNvPr id="2" name="Sales_2"/>
            <xdr:cNvGraphicFramePr/>
          </xdr:nvGraphicFramePr>
          <xdr:xfrm>
            <a:off x="0" y="0"/>
            <a:ext cx="0" cy="0"/>
          </xdr:xfrm>
          <a:graphic>
            <a:graphicData uri="http://schemas.microsoft.com/office/drawing/2010/slicer">
              <x3Unk:slicer name="Sale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180975</xdr:colOff>
      <xdr:row>13</xdr:row>
      <xdr:rowOff>209550</xdr:rowOff>
    </xdr:from>
    <xdr:ext cx="2857500" cy="2857500"/>
    <mc:AlternateContent>
      <mc:Choice Requires="sle15">
        <xdr:graphicFrame>
          <xdr:nvGraphicFramePr>
            <xdr:cNvPr id="3" name="Month_3"/>
            <xdr:cNvGraphicFramePr/>
          </xdr:nvGraphicFramePr>
          <xdr:xfrm>
            <a:off x="0" y="0"/>
            <a:ext cx="0" cy="0"/>
          </xdr:xfrm>
          <a:graphic>
            <a:graphicData uri="http://schemas.microsoft.com/office/drawing/2010/slicer">
              <x3Unk:slicer name="Month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6</xdr:row>
      <xdr:rowOff>200025</xdr:rowOff>
    </xdr:from>
    <xdr:ext cx="4048125" cy="25050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9" sheet="day 4"/>
  </cacheSource>
  <cacheFields>
    <cacheField name="ID" numFmtId="0">
      <sharedItems containsSemiMixedTypes="0" containsString="0" containsNumber="1" containsInteger="1">
        <n v="101.0"/>
        <n v="102.0"/>
        <n v="103.0"/>
        <n v="104.0"/>
        <n v="105.0"/>
        <n v="106.0"/>
        <n v="107.0"/>
        <n v="108.0"/>
      </sharedItems>
    </cacheField>
    <cacheField name="Name" numFmtId="0">
      <sharedItems>
        <s v="Alice"/>
        <s v="Bob"/>
        <s v="Charlie"/>
        <s v="Diana"/>
        <s v="Ethan"/>
        <s v="Rahul"/>
        <s v="Simran"/>
        <s v="Aman"/>
      </sharedItems>
    </cacheField>
    <cacheField name="Dept" numFmtId="0">
      <sharedItems>
        <s v="HR"/>
        <s v="IT"/>
      </sharedItems>
    </cacheField>
    <cacheField name="Sales" numFmtId="0">
      <sharedItems containsSemiMixedTypes="0" containsString="0" containsNumber="1" containsInteger="1">
        <n v="5000.0"/>
        <n v="7000.0"/>
        <n v="8000.0"/>
        <n v="6000.0"/>
        <n v="9000.0"/>
        <n v="4000.0"/>
        <n v="10000.0"/>
        <n v="3000.0"/>
      </sharedItems>
    </cacheField>
    <cacheField name="Month" numFmtId="0">
      <sharedItems>
        <s v="Jan"/>
        <s v="Feb"/>
        <s v="Mar"/>
        <s v="Apr"/>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1" sheet="day 5"/>
  </cacheSource>
  <cacheFields>
    <cacheField name="OrderID" numFmtId="0">
      <sharedItems containsSemiMixedTypes="0" containsString="0" containsNumber="1" containsInteger="1">
        <n v="1.0"/>
        <n v="2.0"/>
        <n v="3.0"/>
        <n v="4.0"/>
        <n v="5.0"/>
        <n v="6.0"/>
        <n v="7.0"/>
        <n v="8.0"/>
        <n v="9.0"/>
        <n v="10.0"/>
      </sharedItems>
    </cacheField>
    <cacheField name="Product" numFmtId="0">
      <sharedItems>
        <s v="Laptop"/>
        <s v="Mobile"/>
        <s v="Shoes"/>
        <s v="Tshirt"/>
      </sharedItems>
    </cacheField>
    <cacheField name="Category" numFmtId="0">
      <sharedItems>
        <s v="Electronics"/>
        <s v="Fashion"/>
      </sharedItems>
    </cacheField>
    <cacheField name="Sales" numFmtId="0">
      <sharedItems containsSemiMixedTypes="0" containsString="0" containsNumber="1" containsInteger="1">
        <n v="50000.0"/>
        <n v="30000.0"/>
        <n v="20000.0"/>
        <n v="15000.0"/>
        <n v="55000.0"/>
        <n v="35000.0"/>
        <n v="25000.0"/>
        <n v="60000.0"/>
        <n v="40000.0"/>
      </sharedItems>
    </cacheField>
    <cacheField name="Region" numFmtId="0">
      <sharedItems>
        <s v="North"/>
        <s v="South"/>
        <s v="West"/>
        <s v="East"/>
      </sharedItems>
    </cacheField>
    <cacheField name="Month" numFmtId="0">
      <sharedItems>
        <s v="Jan"/>
        <s v="Feb"/>
        <s v="Mar"/>
        <s v="Apr"/>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4" cacheId="0" dataCaption="" compact="0" compactData="0">
  <location ref="A1:E10" firstHeaderRow="0" firstDataRow="0" firstDataCol="0"/>
  <pivotFields>
    <pivotField name="ID" compact="0" outline="0" multipleItemSelectionAllowed="1" showAll="0">
      <items>
        <item x="0"/>
        <item x="1"/>
        <item x="2"/>
        <item x="3"/>
        <item x="4"/>
        <item x="5"/>
        <item x="6"/>
        <item x="7"/>
        <item t="default"/>
      </items>
    </pivotField>
    <pivotField name="Name" compact="0" outline="0" multipleItemSelectionAllowed="1" showAll="0">
      <items>
        <item x="0"/>
        <item x="1"/>
        <item x="2"/>
        <item x="3"/>
        <item x="4"/>
        <item x="5"/>
        <item x="6"/>
        <item x="7"/>
        <item t="default"/>
      </items>
    </pivotField>
    <pivotField name="Dept" compact="0" outline="0" multipleItemSelectionAllowed="1" showAll="0">
      <items>
        <item x="0"/>
        <item x="1"/>
        <item t="default"/>
      </items>
    </pivotField>
    <pivotField name="Sales" compact="0" outline="0" multipleItemSelectionAllowed="1" showAll="0">
      <items>
        <item x="0"/>
        <item x="1"/>
        <item x="2"/>
        <item x="3"/>
        <item x="4"/>
        <item x="5"/>
        <item x="6"/>
        <item x="7"/>
        <item t="default"/>
      </items>
    </pivotField>
    <pivotField name="Month" compact="0" outline="0" multipleItemSelectionAllowed="1" showAll="0">
      <items>
        <item x="0"/>
        <item x="1"/>
        <item x="2"/>
        <item x="3"/>
        <item t="default"/>
      </items>
    </pivotField>
  </pivotFields>
</pivotTableDefinition>
</file>

<file path=xl/pivotTables/pivotTable2.xml><?xml version="1.0" encoding="utf-8"?>
<pivotTableDefinition xmlns="http://schemas.openxmlformats.org/spreadsheetml/2006/main" name="Pivot Table 5" cacheId="1" dataCaption="" compact="0" compactData="0">
  <location ref="A1:B6" firstHeaderRow="0" firstDataRow="1" firstDataCol="0"/>
  <pivotFields>
    <pivotField name="OrderID" compact="0" outline="0" multipleItemSelectionAllowed="1" showAll="0">
      <items>
        <item x="0"/>
        <item x="1"/>
        <item x="2"/>
        <item x="3"/>
        <item x="4"/>
        <item x="5"/>
        <item x="6"/>
        <item x="7"/>
        <item x="8"/>
        <item x="9"/>
        <item t="default"/>
      </items>
    </pivotField>
    <pivotField name="Product" axis="axisRow" compact="0" outline="0" multipleItemSelectionAllowed="1" showAll="0" sortType="ascending">
      <items>
        <item x="0"/>
        <item x="1"/>
        <item x="2"/>
        <item x="3"/>
        <item t="default"/>
      </items>
    </pivotField>
    <pivotField name="Category" compact="0" outline="0" multipleItemSelectionAllowed="1" showAll="0">
      <items>
        <item x="0"/>
        <item x="1"/>
        <item t="default"/>
      </items>
    </pivotField>
    <pivotField name="Sales" dataField="1" compact="0" outline="0" multipleItemSelectionAllowed="1" showAll="0">
      <items>
        <item x="0"/>
        <item x="1"/>
        <item x="2"/>
        <item x="3"/>
        <item x="4"/>
        <item x="5"/>
        <item x="6"/>
        <item x="7"/>
        <item x="8"/>
        <item t="default"/>
      </items>
    </pivotField>
    <pivotField name="Region" compact="0" outline="0" multipleItemSelectionAllowed="1" showAll="0">
      <items>
        <item x="0"/>
        <item x="1"/>
        <item x="2"/>
        <item x="3"/>
        <item t="default"/>
      </items>
    </pivotField>
    <pivotField name="Month" compact="0" outline="0" multipleItemSelectionAllowed="1" showAll="0">
      <items>
        <item x="0"/>
        <item x="1"/>
        <item x="2"/>
        <item x="3"/>
        <item t="default"/>
      </items>
    </pivotField>
  </pivotFields>
  <rowFields>
    <field x="1"/>
  </rowFields>
  <dataFields>
    <dataField name="MAX of Sales" fld="3" subtotal="max" baseField="0"/>
  </dataFields>
</pivotTableDefinition>
</file>

<file path=xl/pivotTables/pivotTable3.xml><?xml version="1.0" encoding="utf-8"?>
<pivotTableDefinition xmlns="http://schemas.openxmlformats.org/spreadsheetml/2006/main" name="Pivot Table 3" cacheId="0" dataCaption="" compact="0" compactData="0">
  <location ref="A1:B10" firstHeaderRow="0" firstDataRow="1" firstDataCol="0"/>
  <pivotFields>
    <pivotField name="ID" compact="0" outline="0" multipleItemSelectionAllowed="1" showAll="0">
      <items>
        <item x="0"/>
        <item x="1"/>
        <item x="2"/>
        <item x="3"/>
        <item x="4"/>
        <item x="5"/>
        <item x="6"/>
        <item x="7"/>
        <item t="default"/>
      </items>
    </pivotField>
    <pivotField name="Name" axis="axisRow" compact="0" outline="0" multipleItemSelectionAllowed="1" showAll="0" sortType="ascending">
      <items>
        <item x="0"/>
        <item x="7"/>
        <item x="1"/>
        <item x="2"/>
        <item x="3"/>
        <item x="4"/>
        <item x="5"/>
        <item x="6"/>
        <item t="default"/>
      </items>
    </pivotField>
    <pivotField name="Dept" compact="0" outline="0" multipleItemSelectionAllowed="1" showAll="0">
      <items>
        <item x="0"/>
        <item x="1"/>
        <item t="default"/>
      </items>
    </pivotField>
    <pivotField name="Sales" dataField="1" compact="0" outline="0" multipleItemSelectionAllowed="1" showAll="0">
      <items>
        <item x="0"/>
        <item x="1"/>
        <item x="2"/>
        <item x="3"/>
        <item x="4"/>
        <item x="5"/>
        <item x="6"/>
        <item x="7"/>
        <item t="default"/>
      </items>
    </pivotField>
    <pivotField name="Month" compact="0" outline="0" multipleItemSelectionAllowed="1" showAll="0">
      <items>
        <item x="0"/>
        <item x="1"/>
        <item x="2"/>
        <item x="3"/>
        <item t="default"/>
      </items>
    </pivotField>
  </pivotFields>
  <rowFields>
    <field x="1"/>
  </rowFields>
  <dataFields>
    <dataField name="SUM of Sales" fld="3" baseField="0"/>
  </dataFields>
</pivotTableDefinition>
</file>

<file path=xl/pivotTables/pivotTable4.xml><?xml version="1.0" encoding="utf-8"?>
<pivotTableDefinition xmlns="http://schemas.openxmlformats.org/spreadsheetml/2006/main" name="Pivot Table 2" cacheId="0" dataCaption="" compact="0" compactData="0">
  <location ref="A1:B6" firstHeaderRow="0" firstDataRow="1" firstDataCol="0"/>
  <pivotFields>
    <pivotField name="ID" compact="0" outline="0" multipleItemSelectionAllowed="1" showAll="0">
      <items>
        <item x="0"/>
        <item x="1"/>
        <item x="2"/>
        <item x="3"/>
        <item x="4"/>
        <item x="5"/>
        <item x="6"/>
        <item x="7"/>
        <item t="default"/>
      </items>
    </pivotField>
    <pivotField name="Name" compact="0" outline="0" multipleItemSelectionAllowed="1" showAll="0">
      <items>
        <item x="0"/>
        <item x="1"/>
        <item x="2"/>
        <item x="3"/>
        <item x="4"/>
        <item x="5"/>
        <item x="6"/>
        <item x="7"/>
        <item t="default"/>
      </items>
    </pivotField>
    <pivotField name="Dept" compact="0" outline="0" multipleItemSelectionAllowed="1" showAll="0">
      <items>
        <item x="0"/>
        <item x="1"/>
        <item t="default"/>
      </items>
    </pivotField>
    <pivotField name="Sales" dataField="1" compact="0" outline="0" multipleItemSelectionAllowed="1" showAll="0">
      <items>
        <item x="0"/>
        <item x="1"/>
        <item x="2"/>
        <item x="3"/>
        <item x="4"/>
        <item x="5"/>
        <item x="6"/>
        <item x="7"/>
        <item t="default"/>
      </items>
    </pivotField>
    <pivotField name="Month" axis="axisRow" compact="0" outline="0" multipleItemSelectionAllowed="1" showAll="0" sortType="ascending">
      <items>
        <item x="3"/>
        <item x="1"/>
        <item x="0"/>
        <item x="2"/>
        <item t="default"/>
      </items>
    </pivotField>
  </pivotFields>
  <rowFields>
    <field x="4"/>
  </rowFields>
  <dataFields>
    <dataField name="SUM of Sales" fld="3" baseField="0"/>
  </dataFields>
</pivotTableDefinition>
</file>

<file path=xl/pivotTables/pivotTable5.xml><?xml version="1.0" encoding="utf-8"?>
<pivotTableDefinition xmlns="http://schemas.openxmlformats.org/spreadsheetml/2006/main" name="Pivot Table 1" cacheId="0" dataCaption="" compact="0" compactData="0">
  <location ref="A1:B4" firstHeaderRow="0" firstDataRow="1" firstDataCol="0"/>
  <pivotFields>
    <pivotField name="ID" compact="0" outline="0" multipleItemSelectionAllowed="1" showAll="0">
      <items>
        <item x="0"/>
        <item x="1"/>
        <item x="2"/>
        <item x="3"/>
        <item x="4"/>
        <item x="5"/>
        <item x="6"/>
        <item x="7"/>
        <item t="default"/>
      </items>
    </pivotField>
    <pivotField name="Name" compact="0" outline="0" multipleItemSelectionAllowed="1" showAll="0">
      <items>
        <item x="0"/>
        <item x="1"/>
        <item x="2"/>
        <item x="3"/>
        <item x="4"/>
        <item x="5"/>
        <item x="6"/>
        <item x="7"/>
        <item t="default"/>
      </items>
    </pivotField>
    <pivotField name="Dept" axis="axisRow" compact="0" outline="0" multipleItemSelectionAllowed="1" showAll="0" sortType="ascending">
      <items>
        <item x="0"/>
        <item x="1"/>
        <item t="default"/>
      </items>
    </pivotField>
    <pivotField name="Sales" dataField="1" compact="0" outline="0" multipleItemSelectionAllowed="1" showAll="0">
      <items>
        <item x="0"/>
        <item x="1"/>
        <item x="2"/>
        <item x="3"/>
        <item x="4"/>
        <item x="5"/>
        <item x="6"/>
        <item x="7"/>
        <item t="default"/>
      </items>
    </pivotField>
    <pivotField name="Month" compact="0" outline="0" multipleItemSelectionAllowed="1" showAll="0">
      <items>
        <item x="0"/>
        <item x="1"/>
        <item x="2"/>
        <item x="3"/>
        <item t="default"/>
      </items>
    </pivotField>
  </pivotFields>
  <rowFields>
    <field x="2"/>
  </rowFields>
  <dataFields>
    <dataField name="SUM of Sales"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Dept">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Sales">
  <x14:extLst>
    <ext uri="{2F2917AC-EB37-4324-AD4E-5DD8C200BD13}">
      <x15:tableSlicerCache tableId="1"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Month">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pt_1" cache="SlicerCache_Table_1_Col_3" caption="Dept" rowHeight="247650"/>
  <x14:slicer name="Sales_2" cache="SlicerCache_Table_1_Col_4" caption="Sales" rowHeight="247650"/>
  <x14:slicer name="Month_3" cache="SlicerCache_Table_1_Col_5" caption="Month" rowHeight="247650"/>
</x14:slicers>
</file>

<file path=xl/tables/table1.xml><?xml version="1.0" encoding="utf-8"?>
<table xmlns="http://schemas.openxmlformats.org/spreadsheetml/2006/main" ref="A1:E9" displayName="Table_1" name="Table_1" id="1">
  <autoFilter ref="$A$1:$E$9"/>
  <tableColumns count="5">
    <tableColumn name="ID" id="1"/>
    <tableColumn name="Name" id="2"/>
    <tableColumn name="Dept" id="3"/>
    <tableColumn name="Sales" id="4"/>
    <tableColumn name="Month"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2"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101.0</v>
      </c>
      <c r="B2" s="2" t="s">
        <v>5</v>
      </c>
      <c r="C2" s="2" t="s">
        <v>6</v>
      </c>
      <c r="D2" s="2">
        <v>50000.0</v>
      </c>
      <c r="E2" s="2" t="s">
        <v>7</v>
      </c>
    </row>
    <row r="3">
      <c r="A3" s="2">
        <v>102.0</v>
      </c>
      <c r="B3" s="2" t="s">
        <v>8</v>
      </c>
      <c r="C3" s="2" t="s">
        <v>9</v>
      </c>
      <c r="D3" s="2">
        <v>70000.0</v>
      </c>
      <c r="E3" s="2" t="s">
        <v>10</v>
      </c>
    </row>
    <row r="4">
      <c r="A4" s="2">
        <v>103.0</v>
      </c>
      <c r="B4" s="2" t="s">
        <v>11</v>
      </c>
      <c r="C4" s="2" t="s">
        <v>9</v>
      </c>
      <c r="D4" s="2">
        <v>80000.0</v>
      </c>
      <c r="E4" s="2" t="s">
        <v>7</v>
      </c>
    </row>
    <row r="5">
      <c r="A5" s="2">
        <v>104.0</v>
      </c>
      <c r="B5" s="2" t="s">
        <v>12</v>
      </c>
      <c r="C5" s="2" t="s">
        <v>6</v>
      </c>
      <c r="D5" s="2">
        <v>60000.0</v>
      </c>
      <c r="E5" s="2" t="s">
        <v>13</v>
      </c>
    </row>
    <row r="6">
      <c r="A6" s="2">
        <v>105.0</v>
      </c>
      <c r="B6" s="2" t="s">
        <v>14</v>
      </c>
      <c r="C6" s="2" t="s">
        <v>9</v>
      </c>
      <c r="D6" s="2">
        <v>90000.0</v>
      </c>
      <c r="E6" s="2" t="s">
        <v>7</v>
      </c>
    </row>
    <row r="9">
      <c r="A9" s="3" t="s">
        <v>15</v>
      </c>
      <c r="B9" s="3" t="s">
        <v>16</v>
      </c>
    </row>
    <row r="10">
      <c r="A10" s="3">
        <v>1.0</v>
      </c>
      <c r="B10" s="3" t="s">
        <v>17</v>
      </c>
      <c r="E10" s="4" t="str">
        <f>=FILTER(B2:B6,C2:C6="IT")</f>
        <v>#ERROR!</v>
      </c>
    </row>
    <row r="11">
      <c r="A11" s="3">
        <v>2.0</v>
      </c>
      <c r="B11" s="3" t="s">
        <v>18</v>
      </c>
      <c r="E11" s="4" t="str">
        <f>=FILTER(B2:B6,(C2:C6="IT"),(D2:D6&gt;75000))</f>
        <v>#ERROR!</v>
      </c>
    </row>
    <row r="12">
      <c r="A12" s="3">
        <v>3.0</v>
      </c>
      <c r="B12" s="3" t="s">
        <v>19</v>
      </c>
      <c r="E12" s="4" t="str">
        <f>IFERROR(__xludf.DUMMYFUNCTION("FILTER(B2:B6,D2:D6=MAX(D2:D6))"),"Ethan")</f>
        <v>Ethan</v>
      </c>
      <c r="F12" s="4" t="str">
        <f t="array" ref="F12">XLOOKUP(max(D2:D6),D2:D6,B2:B6,,0)</f>
        <v>Ethan</v>
      </c>
    </row>
    <row r="13">
      <c r="A13" s="3">
        <v>4.0</v>
      </c>
      <c r="B13" s="3" t="s">
        <v>20</v>
      </c>
      <c r="E13" s="4" t="str">
        <f>=FILTER(B2:B6,D2:D6&gt;=LARGE(D2:D6,3))</f>
        <v>#ERROR!</v>
      </c>
      <c r="F13" s="4">
        <f>IFERROR(__xludf.DUMMYFUNCTION("QUERY(A2:E6,""SELECT D ORDER BY D DESC LIMIT 3"")"),90000.0)</f>
        <v>90000</v>
      </c>
      <c r="G13" s="4" t="str">
        <f t="array" ref="G13">INDEX(SORT(D2:D6,FALSE),SEQUENCE(3,1))</f>
        <v>#N/A</v>
      </c>
      <c r="J13" s="4" t="str">
        <f t="array" ref="J13">SORT(D2:D6,false)</f>
        <v>#N/A</v>
      </c>
    </row>
    <row r="14">
      <c r="A14" s="3">
        <v>5.0</v>
      </c>
      <c r="B14" s="3" t="s">
        <v>21</v>
      </c>
      <c r="E14" s="4" t="str">
        <f>=FILTER(B2:B6,(LEFT(B2:B6,1)="A")+(LEFT(B2:B6,1)="E"))</f>
        <v>#ERROR!</v>
      </c>
      <c r="F14" s="4">
        <f>IFERROR(__xludf.DUMMYFUNCTION("""COMPUTED_VALUE"""),80000.0)</f>
        <v>80000</v>
      </c>
    </row>
    <row r="15">
      <c r="A15" s="3">
        <v>6.0</v>
      </c>
      <c r="B15" s="3" t="s">
        <v>22</v>
      </c>
      <c r="E15" s="4" t="str">
        <f>IFERROR(__xludf.DUMMYFUNCTION("FILTER(B2:B6,(E2:E6=""Delhi""),(D2:D6=max(D2:D6)))"),"Ethan")</f>
        <v>Ethan</v>
      </c>
      <c r="F15" s="4">
        <f>IFERROR(__xludf.DUMMYFUNCTION("""COMPUTED_VALUE"""),70000.0)</f>
        <v>70000</v>
      </c>
    </row>
    <row r="16">
      <c r="A16" s="3">
        <v>7.0</v>
      </c>
      <c r="B16" s="3" t="s">
        <v>23</v>
      </c>
      <c r="E16" s="4">
        <f>IFERROR(__xludf.DUMMYFUNCTION("FILTER(A2:E6,D2:D6=max(D2:D6))"),105.0)</f>
        <v>105</v>
      </c>
      <c r="F16" s="4" t="str">
        <f>IFERROR(__xludf.DUMMYFUNCTION("""COMPUTED_VALUE"""),"Ethan")</f>
        <v>Ethan</v>
      </c>
      <c r="G16" s="4" t="str">
        <f>IFERROR(__xludf.DUMMYFUNCTION("""COMPUTED_VALUE"""),"IT")</f>
        <v>IT</v>
      </c>
      <c r="H16" s="4">
        <f>IFERROR(__xludf.DUMMYFUNCTION("""COMPUTED_VALUE"""),90000.0)</f>
        <v>90000</v>
      </c>
      <c r="I16" s="4" t="str">
        <f>IFERROR(__xludf.DUMMYFUNCTION("""COMPUTED_VALUE"""),"Delhi")</f>
        <v>Delhi</v>
      </c>
    </row>
    <row r="17">
      <c r="A17" s="3">
        <v>8.0</v>
      </c>
      <c r="B17" s="3" t="s">
        <v>24</v>
      </c>
      <c r="E17" s="4">
        <f>MAXIFS(D2:D6,C2:C6,"HR")</f>
        <v>60000</v>
      </c>
      <c r="F17" s="4">
        <f>MAXIFS(D2:D6,C2:C6,"IT")</f>
        <v>90000</v>
      </c>
    </row>
  </sheetData>
  <mergeCells count="8">
    <mergeCell ref="B10:D10"/>
    <mergeCell ref="B11:D11"/>
    <mergeCell ref="B12:D12"/>
    <mergeCell ref="B13:D13"/>
    <mergeCell ref="B14:D14"/>
    <mergeCell ref="B15:D15"/>
    <mergeCell ref="B16:D16"/>
    <mergeCell ref="B17:D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25</v>
      </c>
      <c r="D1" s="2" t="s">
        <v>26</v>
      </c>
      <c r="E1" s="2" t="s">
        <v>27</v>
      </c>
      <c r="F1" s="2" t="s">
        <v>28</v>
      </c>
    </row>
    <row r="2">
      <c r="A2" s="2">
        <v>101.0</v>
      </c>
      <c r="B2" s="2" t="s">
        <v>5</v>
      </c>
      <c r="C2" s="2">
        <v>5000.0</v>
      </c>
      <c r="D2" s="2">
        <v>6000.0</v>
      </c>
      <c r="E2" s="2">
        <v>7000.0</v>
      </c>
      <c r="F2" s="2">
        <v>8000.0</v>
      </c>
    </row>
    <row r="3">
      <c r="A3" s="2">
        <v>102.0</v>
      </c>
      <c r="B3" s="2" t="s">
        <v>8</v>
      </c>
      <c r="C3" s="2">
        <v>4000.0</v>
      </c>
      <c r="D3" s="2">
        <v>5000.0</v>
      </c>
      <c r="E3" s="2">
        <v>6000.0</v>
      </c>
      <c r="F3" s="2">
        <v>7000.0</v>
      </c>
      <c r="H3" s="3" t="s">
        <v>26</v>
      </c>
    </row>
    <row r="4">
      <c r="A4" s="2">
        <v>103.0</v>
      </c>
      <c r="B4" s="2" t="s">
        <v>11</v>
      </c>
      <c r="C4" s="2">
        <v>3000.0</v>
      </c>
      <c r="D4" s="2">
        <v>4000.0</v>
      </c>
      <c r="E4" s="2">
        <v>5000.0</v>
      </c>
      <c r="F4" s="2">
        <v>6000.0</v>
      </c>
    </row>
    <row r="5">
      <c r="A5" s="2">
        <v>104.0</v>
      </c>
      <c r="B5" s="2" t="s">
        <v>12</v>
      </c>
      <c r="C5" s="2">
        <v>7000.0</v>
      </c>
      <c r="D5" s="2">
        <v>8000.0</v>
      </c>
      <c r="E5" s="2">
        <v>9000.0</v>
      </c>
      <c r="F5" s="2">
        <v>10000.0</v>
      </c>
    </row>
    <row r="6">
      <c r="A6" s="2">
        <v>105.0</v>
      </c>
      <c r="B6" s="2" t="s">
        <v>14</v>
      </c>
      <c r="C6" s="2">
        <v>6000.0</v>
      </c>
      <c r="D6" s="2">
        <v>7000.0</v>
      </c>
      <c r="E6" s="2">
        <v>8000.0</v>
      </c>
      <c r="F6" s="2">
        <v>9000.0</v>
      </c>
    </row>
    <row r="9">
      <c r="A9" s="3" t="s">
        <v>15</v>
      </c>
      <c r="B9" s="3" t="s">
        <v>16</v>
      </c>
      <c r="E9" s="3"/>
      <c r="F9" s="3">
        <v>103.0</v>
      </c>
    </row>
    <row r="10">
      <c r="A10" s="3">
        <v>1.0</v>
      </c>
      <c r="B10" s="3" t="s">
        <v>29</v>
      </c>
      <c r="E10" s="4">
        <f t="array" ref="E10">XLOOKUP(103,A2:A6,E2:E6)</f>
        <v>5000</v>
      </c>
    </row>
    <row r="11">
      <c r="A11" s="3">
        <v>2.0</v>
      </c>
      <c r="B11" s="3" t="s">
        <v>30</v>
      </c>
      <c r="E11" s="4">
        <f t="array" ref="E11">XLOOKUP(B3,B2:B6,D2:D6)</f>
        <v>5000</v>
      </c>
    </row>
    <row r="12">
      <c r="A12" s="5">
        <v>3.0</v>
      </c>
      <c r="B12" s="5" t="s">
        <v>31</v>
      </c>
      <c r="C12" s="6"/>
      <c r="D12" s="6"/>
      <c r="E12" s="4">
        <f t="array" ref="E12">XLOOKUP(F9,A2:A6,XLOOKUP(H3,C1:F1,C2:F6))</f>
        <v>4000</v>
      </c>
    </row>
    <row r="13">
      <c r="A13" s="3">
        <v>4.0</v>
      </c>
      <c r="B13" s="3" t="s">
        <v>32</v>
      </c>
      <c r="E13" s="4">
        <f t="array" ref="E13">max(XLOOKUP(E1,C1:F1,C2:F6))</f>
        <v>9000</v>
      </c>
    </row>
    <row r="14">
      <c r="A14" s="3">
        <v>5.0</v>
      </c>
      <c r="B14" s="3" t="s">
        <v>33</v>
      </c>
      <c r="E14" s="4" t="str">
        <f>IFERROR(__xludf.DUMMYFUNCTION("FILTER(B2:B6,F2:F6=max(XLOOKUP(F1,C1:F1,C2:F6)))"),"Diana")</f>
        <v>Diana</v>
      </c>
      <c r="F14" s="4" t="str">
        <f>IFERROR(__xludf.DUMMYFUNCTION("FILTER(B2:B6,F2:F6=max(F2:F6))"),"Diana")</f>
        <v>Diana</v>
      </c>
    </row>
    <row r="15">
      <c r="A15" s="3">
        <v>6.0</v>
      </c>
      <c r="B15" s="3" t="s">
        <v>34</v>
      </c>
      <c r="E15" s="4" t="str">
        <f>IFERROR(__xludf.DUMMYFUNCTION("filter(B2:F6,C2:C6=max(C2:C6))"),"Diana")</f>
        <v>Diana</v>
      </c>
      <c r="F15" s="4">
        <f>IFERROR(__xludf.DUMMYFUNCTION("""COMPUTED_VALUE"""),7000.0)</f>
        <v>7000</v>
      </c>
      <c r="G15" s="4">
        <f>IFERROR(__xludf.DUMMYFUNCTION("""COMPUTED_VALUE"""),8000.0)</f>
        <v>8000</v>
      </c>
      <c r="H15" s="4">
        <f>IFERROR(__xludf.DUMMYFUNCTION("""COMPUTED_VALUE"""),9000.0)</f>
        <v>9000</v>
      </c>
      <c r="I15" s="4">
        <f>IFERROR(__xludf.DUMMYFUNCTION("""COMPUTED_VALUE"""),10000.0)</f>
        <v>10000</v>
      </c>
    </row>
    <row r="16">
      <c r="A16" s="3">
        <v>7.0</v>
      </c>
      <c r="B16" s="3" t="s">
        <v>35</v>
      </c>
      <c r="E16" s="4">
        <f t="array" ref="E16">sum(xlookup(B2,B2:B6,C2:F6))</f>
        <v>26000</v>
      </c>
      <c r="F16" s="4">
        <f>IFERROR(__xludf.DUMMYFUNCTION("sum(filter(C2:F6,B2:B6=B2))"),26000.0)</f>
        <v>26000</v>
      </c>
    </row>
    <row r="17">
      <c r="A17" s="5">
        <v>8.0</v>
      </c>
      <c r="B17" s="5" t="s">
        <v>36</v>
      </c>
      <c r="C17" s="6"/>
      <c r="D17" s="6"/>
      <c r="E17" s="4" t="str">
        <f t="array" ref="E17">XLOOKUP(max(XLOOKUP(B5,B2:B6,C2:F6)),XLOOKUP(B5,B2:B6,C2:F6),C1:F1)</f>
        <v>Apr</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37</v>
      </c>
      <c r="E1" s="2" t="s">
        <v>38</v>
      </c>
    </row>
    <row r="2">
      <c r="A2" s="2">
        <v>101.0</v>
      </c>
      <c r="B2" s="2" t="s">
        <v>5</v>
      </c>
      <c r="C2" s="2" t="s">
        <v>6</v>
      </c>
      <c r="D2" s="2">
        <v>5000.0</v>
      </c>
      <c r="E2" s="2" t="s">
        <v>25</v>
      </c>
      <c r="G2" s="3" t="s">
        <v>39</v>
      </c>
      <c r="I2" s="3" t="s">
        <v>40</v>
      </c>
      <c r="K2" s="3" t="s">
        <v>41</v>
      </c>
      <c r="M2" s="3" t="s">
        <v>42</v>
      </c>
    </row>
    <row r="3">
      <c r="A3" s="2">
        <v>102.0</v>
      </c>
      <c r="B3" s="2" t="s">
        <v>8</v>
      </c>
      <c r="C3" s="2" t="s">
        <v>9</v>
      </c>
      <c r="D3" s="2">
        <v>7000.0</v>
      </c>
      <c r="E3" s="2" t="s">
        <v>25</v>
      </c>
      <c r="G3" s="4">
        <f>sum(D2:D9)</f>
        <v>52000</v>
      </c>
      <c r="I3" s="4">
        <f>AVERAGE(D2:D9)</f>
        <v>6500</v>
      </c>
      <c r="K3" s="4">
        <f>max(D2:D9)</f>
        <v>10000</v>
      </c>
      <c r="M3" s="4">
        <f>min(D2:D9)</f>
        <v>3000</v>
      </c>
    </row>
    <row r="4">
      <c r="A4" s="2">
        <v>103.0</v>
      </c>
      <c r="B4" s="2" t="s">
        <v>11</v>
      </c>
      <c r="C4" s="2" t="s">
        <v>9</v>
      </c>
      <c r="D4" s="2">
        <v>8000.0</v>
      </c>
      <c r="E4" s="2" t="s">
        <v>26</v>
      </c>
    </row>
    <row r="5">
      <c r="A5" s="2">
        <v>104.0</v>
      </c>
      <c r="B5" s="2" t="s">
        <v>12</v>
      </c>
      <c r="C5" s="2" t="s">
        <v>6</v>
      </c>
      <c r="D5" s="2">
        <v>6000.0</v>
      </c>
      <c r="E5" s="2" t="s">
        <v>26</v>
      </c>
      <c r="G5" s="3" t="s">
        <v>9</v>
      </c>
      <c r="I5" s="3" t="s">
        <v>25</v>
      </c>
      <c r="K5" s="4" t="str">
        <f t="array" ref="K5">XLOOKUP(max(D2:D9),D2:D9,B2:B9)</f>
        <v>Simran</v>
      </c>
    </row>
    <row r="6">
      <c r="A6" s="2">
        <v>105.0</v>
      </c>
      <c r="B6" s="2" t="s">
        <v>14</v>
      </c>
      <c r="C6" s="2" t="s">
        <v>9</v>
      </c>
      <c r="D6" s="2">
        <v>9000.0</v>
      </c>
      <c r="E6" s="2" t="s">
        <v>27</v>
      </c>
      <c r="G6" s="4">
        <f>IFERROR(__xludf.DUMMYFUNCTION("sum(Filter(D2:D9,C2:C9=G5))"),34000.0)</f>
        <v>34000</v>
      </c>
      <c r="I6" s="4">
        <f>IFERROR(__xludf.DUMMYFUNCTION("sum(FILTER(D2:D9,E2:E9=I5))"),12000.0)</f>
        <v>12000</v>
      </c>
    </row>
    <row r="7">
      <c r="A7" s="2">
        <v>106.0</v>
      </c>
      <c r="B7" s="2" t="s">
        <v>43</v>
      </c>
      <c r="C7" s="2" t="s">
        <v>6</v>
      </c>
      <c r="D7" s="2">
        <v>4000.0</v>
      </c>
      <c r="E7" s="2" t="s">
        <v>27</v>
      </c>
      <c r="G7" s="3" t="s">
        <v>9</v>
      </c>
      <c r="I7" s="3" t="s">
        <v>27</v>
      </c>
      <c r="K7" s="4">
        <f>IFERROR(__xludf.DUMMYFUNCTION("ROWS(filter(B2:E9,D2:D9&gt;7000))"),3.0)</f>
        <v>3</v>
      </c>
    </row>
    <row r="8">
      <c r="A8" s="2">
        <v>107.0</v>
      </c>
      <c r="B8" s="2" t="s">
        <v>44</v>
      </c>
      <c r="C8" s="2" t="s">
        <v>9</v>
      </c>
      <c r="D8" s="2">
        <v>10000.0</v>
      </c>
      <c r="E8" s="2" t="s">
        <v>28</v>
      </c>
      <c r="G8" s="4">
        <f>maxIFS(D2:D9,C2:C9,G7)</f>
        <v>10000</v>
      </c>
      <c r="I8" s="4">
        <f>MAXIFS(D2:D9,E2:E9,I7)</f>
        <v>9000</v>
      </c>
    </row>
    <row r="9">
      <c r="A9" s="2">
        <v>108.0</v>
      </c>
      <c r="B9" s="2" t="s">
        <v>45</v>
      </c>
      <c r="C9" s="2" t="s">
        <v>6</v>
      </c>
      <c r="D9" s="2">
        <v>3000.0</v>
      </c>
      <c r="E9" s="2" t="s">
        <v>28</v>
      </c>
      <c r="G9" s="4">
        <f>maxifs(D2:D9,C2:C9,C8)</f>
        <v>10000</v>
      </c>
    </row>
    <row r="11">
      <c r="A11" s="3" t="s">
        <v>15</v>
      </c>
      <c r="B11" s="3" t="s">
        <v>16</v>
      </c>
      <c r="G11" s="4">
        <f>match(max(SUMIF(C2:C9,C2:C9,D2:D9)),SUMIF(C2:C9,C2:C9,D2:D9))</f>
        <v>1</v>
      </c>
    </row>
    <row r="12">
      <c r="A12" s="3">
        <v>1.0</v>
      </c>
      <c r="B12" s="3" t="s">
        <v>46</v>
      </c>
      <c r="G12" s="4" t="str">
        <f t="array" ref="G12">index(C2:C9,match(max(SUMIF(C2:C9,C2:C9,D2:D9)),SUMIF(C2:C9,C2:C9,D2:D9),0))</f>
        <v>IT</v>
      </c>
    </row>
    <row r="13">
      <c r="A13" s="3">
        <v>2.0</v>
      </c>
      <c r="B13" s="3" t="s">
        <v>47</v>
      </c>
    </row>
    <row r="14">
      <c r="A14" s="3">
        <v>3.0</v>
      </c>
      <c r="B14" s="3" t="s">
        <v>48</v>
      </c>
      <c r="H14" s="3"/>
    </row>
    <row r="15">
      <c r="A15" s="3">
        <v>4.0</v>
      </c>
      <c r="B15" s="3" t="s">
        <v>42</v>
      </c>
    </row>
    <row r="16">
      <c r="A16" s="3">
        <v>5.0</v>
      </c>
      <c r="B16" s="3" t="s">
        <v>49</v>
      </c>
    </row>
    <row r="17">
      <c r="A17" s="3">
        <v>6.0</v>
      </c>
      <c r="B17" s="3" t="s">
        <v>50</v>
      </c>
    </row>
    <row r="18">
      <c r="A18" s="3">
        <v>7.0</v>
      </c>
      <c r="B18" s="3" t="s">
        <v>51</v>
      </c>
    </row>
    <row r="19">
      <c r="A19" s="3">
        <v>8.0</v>
      </c>
      <c r="B19" s="5" t="s">
        <v>52</v>
      </c>
      <c r="C19" s="6"/>
      <c r="D19" s="6"/>
    </row>
    <row r="20">
      <c r="A20" s="3">
        <v>9.0</v>
      </c>
      <c r="B20" s="5" t="s">
        <v>53</v>
      </c>
      <c r="C20" s="6"/>
      <c r="D20" s="6"/>
    </row>
    <row r="21">
      <c r="A21" s="3">
        <v>10.0</v>
      </c>
      <c r="B21" s="3" t="s">
        <v>54</v>
      </c>
    </row>
  </sheetData>
  <dataValidations>
    <dataValidation type="list" allowBlank="1" showErrorMessage="1" sqref="G5 G7">
      <formula1>'day 3'!$C$2:$C$9</formula1>
    </dataValidation>
    <dataValidation type="list" allowBlank="1" showErrorMessage="1" sqref="I5 I7">
      <formula1>'day 3'!$E$2:$E$9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37</v>
      </c>
      <c r="E1" s="3" t="s">
        <v>38</v>
      </c>
    </row>
    <row r="2">
      <c r="A2" s="3">
        <v>101.0</v>
      </c>
      <c r="B2" s="3" t="s">
        <v>5</v>
      </c>
      <c r="C2" s="3" t="s">
        <v>6</v>
      </c>
      <c r="D2" s="3">
        <v>5000.0</v>
      </c>
      <c r="E2" s="3" t="s">
        <v>25</v>
      </c>
    </row>
    <row r="3">
      <c r="A3" s="3">
        <v>102.0</v>
      </c>
      <c r="B3" s="3" t="s">
        <v>8</v>
      </c>
      <c r="C3" s="3" t="s">
        <v>9</v>
      </c>
      <c r="D3" s="3">
        <v>7000.0</v>
      </c>
      <c r="E3" s="3" t="s">
        <v>25</v>
      </c>
    </row>
    <row r="4">
      <c r="A4" s="3">
        <v>103.0</v>
      </c>
      <c r="B4" s="3" t="s">
        <v>11</v>
      </c>
      <c r="C4" s="3" t="s">
        <v>9</v>
      </c>
      <c r="D4" s="3">
        <v>8000.0</v>
      </c>
      <c r="E4" s="3" t="s">
        <v>26</v>
      </c>
    </row>
    <row r="5">
      <c r="A5" s="3">
        <v>104.0</v>
      </c>
      <c r="B5" s="3" t="s">
        <v>12</v>
      </c>
      <c r="C5" s="3" t="s">
        <v>6</v>
      </c>
      <c r="D5" s="3">
        <v>6000.0</v>
      </c>
      <c r="E5" s="3" t="s">
        <v>26</v>
      </c>
    </row>
    <row r="6">
      <c r="A6" s="3">
        <v>105.0</v>
      </c>
      <c r="B6" s="3" t="s">
        <v>14</v>
      </c>
      <c r="C6" s="3" t="s">
        <v>9</v>
      </c>
      <c r="D6" s="3">
        <v>9000.0</v>
      </c>
      <c r="E6" s="3" t="s">
        <v>27</v>
      </c>
    </row>
    <row r="7">
      <c r="A7" s="3">
        <v>106.0</v>
      </c>
      <c r="B7" s="3" t="s">
        <v>43</v>
      </c>
      <c r="C7" s="3" t="s">
        <v>6</v>
      </c>
      <c r="D7" s="3">
        <v>4000.0</v>
      </c>
      <c r="E7" s="3" t="s">
        <v>27</v>
      </c>
    </row>
    <row r="8">
      <c r="A8" s="3">
        <v>107.0</v>
      </c>
      <c r="B8" s="3" t="s">
        <v>44</v>
      </c>
      <c r="C8" s="3" t="s">
        <v>9</v>
      </c>
      <c r="D8" s="3">
        <v>10000.0</v>
      </c>
      <c r="E8" s="3" t="s">
        <v>28</v>
      </c>
    </row>
    <row r="9">
      <c r="A9" s="3">
        <v>108.0</v>
      </c>
      <c r="B9" s="3" t="s">
        <v>45</v>
      </c>
      <c r="C9" s="3" t="s">
        <v>6</v>
      </c>
      <c r="D9" s="3">
        <v>3000.0</v>
      </c>
      <c r="E9" s="3" t="s">
        <v>28</v>
      </c>
    </row>
  </sheetData>
  <customSheetViews>
    <customSheetView guid="{A43C9A64-3E0F-48F3-8A38-6BF03AC3D5E2}" filter="1" showAutoFilter="1">
      <autoFilter ref="$A$1:$E$9"/>
    </customSheetView>
  </customSheetView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extLst>
    <ext uri="{3A4CF648-6AED-40f4-86FF-DC5316D8AED3}">
      <x14:slicerList>
        <x14:slicer r:id="rId2"/>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58</v>
      </c>
      <c r="B1" s="3" t="s">
        <v>59</v>
      </c>
      <c r="C1" s="3" t="s">
        <v>60</v>
      </c>
      <c r="D1" s="3" t="s">
        <v>37</v>
      </c>
      <c r="E1" s="3" t="s">
        <v>61</v>
      </c>
      <c r="F1" s="3" t="s">
        <v>38</v>
      </c>
    </row>
    <row r="2">
      <c r="A2" s="3">
        <v>1.0</v>
      </c>
      <c r="B2" s="3" t="s">
        <v>62</v>
      </c>
      <c r="C2" s="3" t="s">
        <v>63</v>
      </c>
      <c r="D2" s="3">
        <v>50000.0</v>
      </c>
      <c r="E2" s="3" t="s">
        <v>64</v>
      </c>
      <c r="F2" s="3" t="s">
        <v>25</v>
      </c>
    </row>
    <row r="3">
      <c r="A3" s="3">
        <v>2.0</v>
      </c>
      <c r="B3" s="3" t="s">
        <v>65</v>
      </c>
      <c r="C3" s="3" t="s">
        <v>63</v>
      </c>
      <c r="D3" s="3">
        <v>30000.0</v>
      </c>
      <c r="E3" s="3" t="s">
        <v>66</v>
      </c>
      <c r="F3" s="3" t="s">
        <v>25</v>
      </c>
    </row>
    <row r="4">
      <c r="A4" s="3">
        <v>3.0</v>
      </c>
      <c r="B4" s="3" t="s">
        <v>67</v>
      </c>
      <c r="C4" s="3" t="s">
        <v>68</v>
      </c>
      <c r="D4" s="3">
        <v>20000.0</v>
      </c>
      <c r="E4" s="3" t="s">
        <v>69</v>
      </c>
      <c r="F4" s="3" t="s">
        <v>26</v>
      </c>
    </row>
    <row r="5">
      <c r="A5" s="3">
        <v>4.0</v>
      </c>
      <c r="B5" s="3" t="s">
        <v>70</v>
      </c>
      <c r="C5" s="3" t="s">
        <v>68</v>
      </c>
      <c r="D5" s="3">
        <v>15000.0</v>
      </c>
      <c r="E5" s="3" t="s">
        <v>64</v>
      </c>
      <c r="F5" s="3" t="s">
        <v>26</v>
      </c>
    </row>
    <row r="6">
      <c r="A6" s="3">
        <v>5.0</v>
      </c>
      <c r="B6" s="3" t="s">
        <v>62</v>
      </c>
      <c r="C6" s="3" t="s">
        <v>63</v>
      </c>
      <c r="D6" s="3">
        <v>55000.0</v>
      </c>
      <c r="E6" s="3" t="s">
        <v>71</v>
      </c>
      <c r="F6" s="3" t="s">
        <v>27</v>
      </c>
    </row>
    <row r="7">
      <c r="A7" s="3">
        <v>6.0</v>
      </c>
      <c r="B7" s="3" t="s">
        <v>65</v>
      </c>
      <c r="C7" s="3" t="s">
        <v>63</v>
      </c>
      <c r="D7" s="3">
        <v>35000.0</v>
      </c>
      <c r="E7" s="3" t="s">
        <v>69</v>
      </c>
      <c r="F7" s="3" t="s">
        <v>27</v>
      </c>
    </row>
    <row r="8">
      <c r="A8" s="3">
        <v>7.0</v>
      </c>
      <c r="B8" s="3" t="s">
        <v>67</v>
      </c>
      <c r="C8" s="3" t="s">
        <v>68</v>
      </c>
      <c r="D8" s="3">
        <v>25000.0</v>
      </c>
      <c r="E8" s="3" t="s">
        <v>66</v>
      </c>
      <c r="F8" s="3" t="s">
        <v>28</v>
      </c>
    </row>
    <row r="9">
      <c r="A9" s="3">
        <v>8.0</v>
      </c>
      <c r="B9" s="3" t="s">
        <v>70</v>
      </c>
      <c r="C9" s="3" t="s">
        <v>68</v>
      </c>
      <c r="D9" s="3">
        <v>20000.0</v>
      </c>
      <c r="E9" s="3" t="s">
        <v>71</v>
      </c>
      <c r="F9" s="3" t="s">
        <v>28</v>
      </c>
    </row>
    <row r="10">
      <c r="A10" s="3">
        <v>9.0</v>
      </c>
      <c r="B10" s="3" t="s">
        <v>62</v>
      </c>
      <c r="C10" s="3" t="s">
        <v>63</v>
      </c>
      <c r="D10" s="3">
        <v>60000.0</v>
      </c>
      <c r="E10" s="3" t="s">
        <v>64</v>
      </c>
      <c r="F10" s="3" t="s">
        <v>28</v>
      </c>
    </row>
    <row r="11">
      <c r="A11" s="3">
        <v>10.0</v>
      </c>
      <c r="B11" s="3" t="s">
        <v>65</v>
      </c>
      <c r="C11" s="3" t="s">
        <v>63</v>
      </c>
      <c r="D11" s="3">
        <v>40000.0</v>
      </c>
      <c r="E11" s="3" t="s">
        <v>66</v>
      </c>
      <c r="F11" s="3" t="s">
        <v>28</v>
      </c>
    </row>
    <row r="14">
      <c r="A14" s="3" t="s">
        <v>15</v>
      </c>
      <c r="B14" s="3" t="s">
        <v>16</v>
      </c>
    </row>
    <row r="15">
      <c r="A15" s="3">
        <v>1.0</v>
      </c>
      <c r="B15" s="3" t="s">
        <v>39</v>
      </c>
      <c r="E15" s="4">
        <f>sum(D2:D11)</f>
        <v>350000</v>
      </c>
    </row>
    <row r="16">
      <c r="A16" s="3">
        <v>2.0</v>
      </c>
      <c r="B16" s="3" t="s">
        <v>72</v>
      </c>
      <c r="E16" s="4">
        <f>sumif(C2:C11,C2,D2:D11)</f>
        <v>270000</v>
      </c>
    </row>
    <row r="17">
      <c r="A17" s="3">
        <v>3.0</v>
      </c>
      <c r="B17" s="3" t="s">
        <v>73</v>
      </c>
      <c r="E17" s="4">
        <f>sumif(E2:E11,E2,D2:D11)</f>
        <v>125000</v>
      </c>
    </row>
    <row r="18">
      <c r="A18" s="3">
        <v>4.0</v>
      </c>
      <c r="B18" s="3" t="s">
        <v>74</v>
      </c>
      <c r="E18" s="4" t="str">
        <f>IFERROR(__xludf.DUMMYFUNCTION("filter(B2:B11,D2:D11=max(D2:D11))"),"Laptop")</f>
        <v>Laptop</v>
      </c>
    </row>
    <row r="19">
      <c r="A19" s="3">
        <v>5.0</v>
      </c>
      <c r="B19" s="5" t="s">
        <v>75</v>
      </c>
      <c r="C19" s="6"/>
      <c r="E19" s="4" t="str">
        <f t="array" ref="E19">XLOOKUP(MAX(SUMIF(F2:F11,F2:F11,D2:D11)),
         D2:D11,F2:F11)</f>
        <v>#N/A</v>
      </c>
    </row>
    <row r="20">
      <c r="A20" s="3">
        <v>6.0</v>
      </c>
      <c r="B20" s="5" t="s">
        <v>76</v>
      </c>
      <c r="C20" s="6"/>
    </row>
    <row r="21">
      <c r="A21" s="3">
        <v>7.0</v>
      </c>
      <c r="B21" s="3" t="s">
        <v>77</v>
      </c>
      <c r="E21" s="4">
        <f>sumifs(D2:D11,C2:C11,C2,F2:F11,F8)</f>
        <v>100000</v>
      </c>
    </row>
    <row r="22">
      <c r="A22" s="3">
        <v>8.0</v>
      </c>
      <c r="B22" s="3" t="s">
        <v>78</v>
      </c>
      <c r="E22" s="4">
        <f>countif(D2:D11,"&gt;30000")</f>
        <v>5</v>
      </c>
    </row>
    <row r="23">
      <c r="A23" s="3">
        <v>9.0</v>
      </c>
      <c r="B23" s="3" t="s">
        <v>79</v>
      </c>
      <c r="E23" s="3" t="str">
        <f>queue("select * from SORT(D2:D11,D2:D11,false) limit 3")</f>
        <v>#NAME?</v>
      </c>
    </row>
    <row r="24">
      <c r="A24" s="3">
        <v>10.0</v>
      </c>
      <c r="B24" s="3" t="s">
        <v>80</v>
      </c>
      <c r="E24" s="4">
        <f>average(sumif(B2:B11,B2,D2:D11))</f>
        <v>165000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
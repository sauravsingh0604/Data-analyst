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<sst xmlns="http://schemas.openxmlformats.org/spreadsheetml/2006/main" count="80" uniqueCount="60">
  <si>
    <t>Employee ID</t>
  </si>
  <si>
    <t>Name</t>
  </si>
  <si>
    <t>Department</t>
  </si>
  <si>
    <t>Salary</t>
  </si>
  <si>
    <t>Location</t>
  </si>
  <si>
    <t>Alice</t>
  </si>
  <si>
    <t>Bob</t>
  </si>
  <si>
    <t>Charlie</t>
  </si>
  <si>
    <t>Diana</t>
  </si>
  <si>
    <t>Ethan</t>
  </si>
  <si>
    <t>HR</t>
  </si>
  <si>
    <t>New York</t>
  </si>
  <si>
    <t>Finance</t>
  </si>
  <si>
    <t>IT</t>
  </si>
  <si>
    <t>Marketing</t>
  </si>
  <si>
    <t>Sales</t>
  </si>
  <si>
    <t>Chicago</t>
  </si>
  <si>
    <t>San Francisco</t>
  </si>
  <si>
    <t>Boston</t>
  </si>
  <si>
    <t>Seattle</t>
  </si>
  <si>
    <t>Beginner Questions</t>
  </si>
  <si>
    <t>Problem</t>
  </si>
  <si>
    <t>Solution</t>
  </si>
  <si>
    <t>1. Find the Name of Employee ID 103.</t>
  </si>
  <si>
    <t>Find the Department of Employee ID 103</t>
  </si>
  <si>
    <t>2. Get the Department of Employee named "Bob".</t>
  </si>
  <si>
    <t>Find the Salary of "Bob".</t>
  </si>
  <si>
    <t>3. Return the Salary of Employee ID 105.</t>
  </si>
  <si>
    <t>Get the Location of Employee ID 105.</t>
  </si>
  <si>
    <t>4. If Employee ID 106 is searched, return "Not Found".</t>
  </si>
  <si>
    <t>Return the Employee Name who works in "Marketing".</t>
  </si>
  <si>
    <t>5. Find Location of Employee named "Diana".</t>
  </si>
  <si>
    <t>If Employee ID 106 is searched, return "Not Found".</t>
  </si>
  <si>
    <t>Find Department of Employee ID 108 (missing data).</t>
  </si>
  <si>
    <t>🔍 Intermediate Questions</t>
  </si>
  <si>
    <t>Find Employee Name starting with "Ch" (wildcard).*</t>
  </si>
  <si>
    <t>*Find Location ending with "ton" (wildcard).</t>
  </si>
  <si>
    <t>1. Find Employee Name starting with "Ch" (wildcard).</t>
  </si>
  <si>
    <t>2. Find Location ending with "ton" (wildcard).</t>
  </si>
  <si>
    <t>Find Salary of the highest Employee ID (reverse search).</t>
  </si>
  <si>
    <t>3. Find Salary of the highest Employee ID.</t>
  </si>
  <si>
    <t>Find Employee with ID just less than or equal to 104.</t>
  </si>
  <si>
    <t>4. Find Employee ID just less than or equal to 104.</t>
  </si>
  <si>
    <t>Find Employee with ID just greater than or equal to 104.</t>
  </si>
  <si>
    <t>5. Find Employee ID just greater than or equal to 104.</t>
  </si>
  <si>
    <t>Find Employee ID for "Ethan" (row lookup).</t>
  </si>
  <si>
    <t>Find Department for "Alice".</t>
  </si>
  <si>
    <t>Return Employee ID for Name "Ethan" (row lookup).</t>
  </si>
  <si>
    <t>Get Salary of Employee ID in cell I2 (dynamic).</t>
  </si>
  <si>
    <t>1. Find Department for Name "Alice" using horizontal XLOOKUP.</t>
  </si>
  <si>
    <t>Return Employee Name if Location = "Chicago".</t>
  </si>
  <si>
    <t>2. Get Salary of Employee ID in cell B2 (dynamic horizontal lookup).</t>
  </si>
  <si>
    <t>Find Employee ID for Department "Sales".</t>
  </si>
  <si>
    <t>3. Return Employee Name if Location is "Chicago" (horizontal match).</t>
  </si>
  <si>
    <t>If searching for "Zoe", return custom text.</t>
  </si>
  <si>
    <t>4. Find Department of Employee with the lowest Salary.</t>
  </si>
  <si>
    <t>Find Department of Employee with the lowest Salary.</t>
  </si>
  <si>
    <t>5. Find Location of Employee with the highest Salary.</t>
  </si>
  <si>
    <t>Find Location of Employee with highest Salary.</t>
  </si>
  <si>
    <t>6. Return custom message if searching for "Zoe".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</si>
</sst>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2" numFmtId="3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2.63"/>
  </cols>
  <sheetData>
    <row r="1">
      <c r="A1" s="1" t="s">
        <v>0</v>
      </c>
      <c r="B1" s="2">
        <v>101.0</v>
      </c>
      <c r="C1" s="2">
        <v>102.0</v>
      </c>
      <c r="D1" s="2">
        <v>103.0</v>
      </c>
      <c r="E1" s="2">
        <v>104.0</v>
      </c>
      <c r="F1" s="2">
        <v>105.0</v>
      </c>
      <c r="H1" s="3" t="s">
        <v>0</v>
      </c>
      <c r="I1" s="3" t="s">
        <v>1</v>
      </c>
      <c r="J1" s="3" t="s">
        <v>2</v>
      </c>
      <c r="K1" s="3" t="s">
        <v>3</v>
      </c>
      <c r="L1" s="3" t="s">
        <v>4</v>
      </c>
    </row>
    <row r="2">
      <c r="A2" s="1" t="s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H2" s="4">
        <v>101.0</v>
      </c>
      <c r="I2" s="4" t="s">
        <v>5</v>
      </c>
      <c r="J2" s="4" t="s">
        <v>10</v>
      </c>
      <c r="K2" s="5">
        <v>50000.0</v>
      </c>
      <c r="L2" s="4" t="s">
        <v>11</v>
      </c>
    </row>
    <row r="3">
      <c r="A3" s="1" t="s">
        <v>2</v>
      </c>
      <c r="B3" s="2" t="s">
        <v>10</v>
      </c>
      <c r="C3" s="2" t="s">
        <v>12</v>
      </c>
      <c r="D3" s="2" t="s">
        <v>13</v>
      </c>
      <c r="E3" s="2" t="s">
        <v>14</v>
      </c>
      <c r="F3" s="2" t="s">
        <v>15</v>
      </c>
      <c r="H3" s="4">
        <v>102.0</v>
      </c>
      <c r="I3" s="4" t="s">
        <v>6</v>
      </c>
      <c r="J3" s="4" t="s">
        <v>12</v>
      </c>
      <c r="K3" s="5">
        <v>60000.0</v>
      </c>
      <c r="L3" s="4" t="s">
        <v>16</v>
      </c>
    </row>
    <row r="4">
      <c r="A4" s="1" t="s">
        <v>3</v>
      </c>
      <c r="B4" s="6">
        <v>50000.0</v>
      </c>
      <c r="C4" s="6">
        <v>60000.0</v>
      </c>
      <c r="D4" s="6">
        <v>70000.0</v>
      </c>
      <c r="E4" s="6">
        <v>55000.0</v>
      </c>
      <c r="F4" s="6">
        <v>65000.0</v>
      </c>
      <c r="H4" s="4">
        <v>103.0</v>
      </c>
      <c r="I4" s="4" t="s">
        <v>7</v>
      </c>
      <c r="J4" s="4" t="s">
        <v>13</v>
      </c>
      <c r="K4" s="5">
        <v>70000.0</v>
      </c>
      <c r="L4" s="4" t="s">
        <v>17</v>
      </c>
    </row>
    <row r="5">
      <c r="A5" s="1" t="s">
        <v>4</v>
      </c>
      <c r="B5" s="2" t="s">
        <v>11</v>
      </c>
      <c r="C5" s="2" t="s">
        <v>16</v>
      </c>
      <c r="D5" s="2" t="s">
        <v>17</v>
      </c>
      <c r="E5" s="2" t="s">
        <v>18</v>
      </c>
      <c r="F5" s="2" t="s">
        <v>19</v>
      </c>
      <c r="H5" s="4">
        <v>104.0</v>
      </c>
      <c r="I5" s="4" t="s">
        <v>8</v>
      </c>
      <c r="J5" s="4" t="s">
        <v>14</v>
      </c>
      <c r="K5" s="5">
        <v>55000.0</v>
      </c>
      <c r="L5" s="4" t="s">
        <v>18</v>
      </c>
    </row>
    <row r="6">
      <c r="H6" s="4">
        <v>105.0</v>
      </c>
      <c r="I6" s="4" t="s">
        <v>9</v>
      </c>
      <c r="J6" s="4" t="s">
        <v>15</v>
      </c>
      <c r="K6" s="5">
        <v>65000.0</v>
      </c>
      <c r="L6" s="4" t="s">
        <v>19</v>
      </c>
    </row>
    <row r="7">
      <c r="A7" s="7" t="s">
        <v>20</v>
      </c>
      <c r="C7" s="8"/>
      <c r="D7" s="8"/>
      <c r="E7" s="8"/>
    </row>
    <row r="8">
      <c r="A8" s="9"/>
      <c r="B8" s="8"/>
      <c r="C8" s="8"/>
      <c r="D8" s="8"/>
      <c r="E8" s="8"/>
      <c r="H8" s="3" t="s">
        <v>21</v>
      </c>
      <c r="I8" s="3" t="s">
        <v>22</v>
      </c>
    </row>
    <row r="9">
      <c r="A9" s="10" t="s">
        <v>23</v>
      </c>
      <c r="E9" s="8"/>
      <c r="F9" s="11" t="str">
        <f t="array" ref="F9">xlookup(103,B1:F1,B2:F2)</f>
        <v>Charlie</v>
      </c>
      <c r="G9" s="12">
        <v>1.0</v>
      </c>
      <c r="H9" s="7" t="s">
        <v>24</v>
      </c>
      <c r="I9" s="8" t="str">
        <f t="array" ref="I9">xlookup(H4,H2:H6,J2:J6)</f>
        <v>IT</v>
      </c>
    </row>
    <row r="10">
      <c r="A10" s="10" t="s">
        <v>25</v>
      </c>
      <c r="F10" s="11" t="str">
        <f t="array" ref="F10">XLOOKUP(C2,B2:F2,B3:F3)</f>
        <v>Finance</v>
      </c>
      <c r="G10" s="12">
        <v>2.0</v>
      </c>
      <c r="H10" s="7" t="s">
        <v>26</v>
      </c>
      <c r="I10" s="13">
        <f t="array" ref="I10">XLOOKUP(I3,I1:I6,K1:K6)</f>
        <v>60000</v>
      </c>
    </row>
    <row r="11">
      <c r="A11" s="10" t="s">
        <v>27</v>
      </c>
      <c r="E11" s="8"/>
      <c r="F11" s="14">
        <f t="array" ref="F11">xlookup(F1,B1:F1,B4:F4)</f>
        <v>65000</v>
      </c>
      <c r="G11" s="12">
        <v>3.0</v>
      </c>
      <c r="H11" s="7" t="s">
        <v>28</v>
      </c>
      <c r="I11" s="4" t="str">
        <f t="array" ref="I11">xlookup(H6,H2:H6,L2:L6)</f>
        <v>Seattle</v>
      </c>
    </row>
    <row r="12">
      <c r="A12" s="10" t="s">
        <v>29</v>
      </c>
      <c r="F12" s="11" t="str">
        <f t="array" ref="F12">xlookup(106,B1:F1,B4:F4,"not found")</f>
        <v>not found</v>
      </c>
      <c r="G12" s="12">
        <v>4.0</v>
      </c>
      <c r="H12" s="7" t="s">
        <v>30</v>
      </c>
      <c r="I12" s="4" t="str">
        <f t="array" ref="I12">XLOOKUP(J5,J2:J6,I2:I6)</f>
        <v>Diana</v>
      </c>
    </row>
    <row r="13">
      <c r="A13" s="10" t="s">
        <v>31</v>
      </c>
      <c r="E13" s="8"/>
      <c r="F13" s="11" t="str">
        <f t="array" ref="F13">XLOOKUP("Diana",B2:F2,B5:F5)</f>
        <v>Boston</v>
      </c>
      <c r="G13" s="12">
        <v>5.0</v>
      </c>
      <c r="H13" s="7" t="s">
        <v>32</v>
      </c>
      <c r="I13" s="4" t="str">
        <f t="array" ref="I13">XLOOKUP(106,H2:H6,I2:L6,"Not Found")</f>
        <v>Not Found</v>
      </c>
    </row>
    <row r="14">
      <c r="A14" s="8"/>
      <c r="B14" s="8"/>
      <c r="C14" s="8"/>
      <c r="D14" s="8"/>
      <c r="E14" s="8"/>
      <c r="F14" s="11"/>
      <c r="G14" s="12">
        <v>6.0</v>
      </c>
      <c r="H14" s="7" t="s">
        <v>33</v>
      </c>
      <c r="I14" s="4" t="str">
        <f t="array" ref="I14">XLOOKUP(108,H2:H6,J2:J6,"Missing data")</f>
        <v>Missing data</v>
      </c>
    </row>
    <row r="15">
      <c r="A15" s="7" t="s">
        <v>34</v>
      </c>
      <c r="D15" s="8"/>
      <c r="E15" s="8"/>
      <c r="F15" s="11"/>
      <c r="G15" s="12">
        <v>7.0</v>
      </c>
      <c r="H15" s="7" t="s">
        <v>35</v>
      </c>
      <c r="I15" s="4" t="str">
        <f t="array" ref="I15">xlookup("ch*",I2:I6,I2:I6,,2)</f>
        <v>Charlie</v>
      </c>
    </row>
    <row r="16">
      <c r="A16" s="9"/>
      <c r="B16" s="8"/>
      <c r="C16" s="8"/>
      <c r="D16" s="8"/>
      <c r="E16" s="8"/>
      <c r="F16" s="11"/>
      <c r="G16" s="12">
        <v>8.0</v>
      </c>
      <c r="H16" s="7" t="s">
        <v>36</v>
      </c>
      <c r="I16" s="4" t="str">
        <f t="array" ref="I16">XLOOKUP("*ton",L2:L6,L2:L6,,2)</f>
        <v>Boston</v>
      </c>
    </row>
    <row r="17">
      <c r="A17" s="10" t="s">
        <v>37</v>
      </c>
      <c r="F17" s="11" t="str">
        <f t="array" ref="F17">xlookup("Ch*",B2:F2,B2:F2,,2)</f>
        <v>Charlie</v>
      </c>
      <c r="G17" s="12">
        <v>9.0</v>
      </c>
      <c r="H17" s="7" t="str">
        <f t="array" ref="H17">XLOOKUP(I2:I6,J2:J6)</f>
        <v>#N/A</v>
      </c>
      <c r="I17" s="7" t="str">
        <f t="array" ref="I17">xlookup(max(H2:H6),H2:H6,I2:I6)</f>
        <v>Ethan</v>
      </c>
    </row>
    <row r="18">
      <c r="A18" s="10" t="s">
        <v>38</v>
      </c>
      <c r="E18" s="8"/>
      <c r="F18" s="11" t="str">
        <f t="array" ref="F18">xlookup("*ton",B5:F5,B5:F5,,2)</f>
        <v>Boston</v>
      </c>
      <c r="G18" s="12">
        <v>10.0</v>
      </c>
      <c r="H18" s="7" t="s">
        <v>39</v>
      </c>
      <c r="I18" s="5">
        <f t="array" ref="I18">xlookup(max(H2:H6),H2:H6,K2:K6)</f>
        <v>65000</v>
      </c>
    </row>
    <row r="19">
      <c r="A19" s="10" t="s">
        <v>40</v>
      </c>
      <c r="E19" s="8"/>
      <c r="F19" s="14">
        <f t="array" ref="F19">xlookup(max(B1:F1),B1:F1,B4:F4)</f>
        <v>65000</v>
      </c>
      <c r="G19" s="12">
        <v>11.0</v>
      </c>
      <c r="H19" s="7" t="s">
        <v>41</v>
      </c>
      <c r="I19" s="4">
        <f t="array" ref="I19">xlookup(104,H2:H6,H2:H6,,-1)</f>
        <v>104</v>
      </c>
    </row>
    <row r="20">
      <c r="A20" s="10" t="s">
        <v>42</v>
      </c>
      <c r="F20" s="11">
        <f t="array" ref="F20">xlookup(104,B1:F1,B1:F1,"not found",-1)</f>
        <v>104</v>
      </c>
      <c r="G20" s="12">
        <v>12.0</v>
      </c>
      <c r="H20" s="7" t="s">
        <v>43</v>
      </c>
      <c r="I20" s="4">
        <f t="array" ref="I20">XLOOKUP(104,H2:H6,H2:H6,,1)</f>
        <v>104</v>
      </c>
    </row>
    <row r="21">
      <c r="A21" s="10" t="s">
        <v>44</v>
      </c>
      <c r="F21" s="11">
        <f t="array" ref="F21">xlookup(104,B1:F1,B1:F1,,1)</f>
        <v>104</v>
      </c>
      <c r="G21" s="12">
        <v>13.0</v>
      </c>
      <c r="H21" s="7" t="s">
        <v>45</v>
      </c>
      <c r="I21" s="8">
        <f t="array" ref="I21">XLOOKUP(I6,I2:I6,H2:H6)</f>
        <v>105</v>
      </c>
    </row>
    <row r="22">
      <c r="A22" s="8"/>
      <c r="B22" s="8"/>
      <c r="C22" s="8"/>
      <c r="D22" s="8"/>
      <c r="E22" s="8"/>
      <c r="F22" s="11"/>
      <c r="G22" s="12">
        <v>14.0</v>
      </c>
      <c r="H22" s="7" t="s">
        <v>46</v>
      </c>
      <c r="I22" s="8" t="str">
        <f t="array" ref="I22">XLOOKUP(I2,I2:I6,J2:J6)</f>
        <v>HR</v>
      </c>
    </row>
    <row r="23">
      <c r="A23" s="10" t="s">
        <v>47</v>
      </c>
      <c r="F23" s="11">
        <f t="array" ref="F23">xlookup("Ethan",B2:G2,B1:G1)</f>
        <v>105</v>
      </c>
      <c r="G23" s="12">
        <v>15.0</v>
      </c>
      <c r="H23" s="7" t="s">
        <v>48</v>
      </c>
      <c r="I23" s="13">
        <f t="array" ref="I23">xlookup(I3,I2:I6,K2:K6)</f>
        <v>60000</v>
      </c>
    </row>
    <row r="24">
      <c r="A24" s="10" t="s">
        <v>49</v>
      </c>
      <c r="F24" s="11" t="str">
        <f t="array" ref="F24">XLOOKUP("Alice",B2:F2,B3:F3)</f>
        <v>HR</v>
      </c>
      <c r="G24" s="12">
        <v>16.0</v>
      </c>
      <c r="H24" s="7" t="s">
        <v>50</v>
      </c>
      <c r="I24" s="8" t="str">
        <f t="array" ref="I24">xlookup("Chicago",L2:L6,I2:I6)</f>
        <v>Bob</v>
      </c>
    </row>
    <row r="25">
      <c r="A25" s="10" t="s">
        <v>51</v>
      </c>
      <c r="F25" s="14">
        <f t="array" ref="F25">xlookup(B2,B2:F2,B4:F4)</f>
        <v>50000</v>
      </c>
      <c r="G25" s="12">
        <v>17.0</v>
      </c>
      <c r="H25" s="7" t="s">
        <v>52</v>
      </c>
      <c r="I25" s="8">
        <f t="array" ref="I25">XLOOKUP(J6,J2:J6,H2:H6)</f>
        <v>105</v>
      </c>
    </row>
    <row r="26">
      <c r="A26" s="10" t="s">
        <v>53</v>
      </c>
      <c r="F26" s="11" t="str">
        <f t="array" ref="F26">XLOOKUP("Chicago",B5:F5,B2:F2)</f>
        <v>Bob</v>
      </c>
      <c r="G26" s="12">
        <v>18.0</v>
      </c>
      <c r="H26" s="7" t="s">
        <v>54</v>
      </c>
      <c r="I26" s="8" t="str">
        <f t="array" ref="I26">XLOOKUP("Zoe",I2:I6,J2:L6,"cutomm text")</f>
        <v>cutomm text</v>
      </c>
    </row>
    <row r="27">
      <c r="A27" s="10" t="s">
        <v>55</v>
      </c>
      <c r="F27" s="11" t="str">
        <f t="array" ref="F27">XLOOKUP(min(B4:F4),B4:F4,B3:F3)</f>
        <v>HR</v>
      </c>
      <c r="G27" s="12">
        <v>19.0</v>
      </c>
      <c r="H27" s="7" t="s">
        <v>56</v>
      </c>
      <c r="I27" s="8" t="str">
        <f t="array" ref="I27">XLOOKUP(min(K2:K6),K2:K6,J2:J6)</f>
        <v>HR</v>
      </c>
    </row>
    <row r="28">
      <c r="A28" s="10" t="s">
        <v>57</v>
      </c>
      <c r="F28" s="11" t="str">
        <f t="array" ref="F28">xlookup(max(B4:F4),B4:F4,B5:F5)</f>
        <v>San Francisco</v>
      </c>
      <c r="G28" s="12">
        <v>20.0</v>
      </c>
      <c r="H28" s="7" t="s">
        <v>58</v>
      </c>
      <c r="I28" s="8" t="str">
        <f t="array" ref="I28">XLOOKUP(max(K2:K6),K2:K6,L2:L6)</f>
        <v>San Francisco</v>
      </c>
    </row>
    <row r="29">
      <c r="A29" s="10" t="s">
        <v>59</v>
      </c>
      <c r="F29" s="11" t="str">
        <f t="array" ref="F29">xlookup("Zoe*",B2:F2,B1:F5,"Not Found",2)</f>
        <v>Not Found</v>
      </c>
    </row>
    <row r="30">
      <c r="A30" s="8"/>
      <c r="B30" s="8"/>
      <c r="C30" s="8"/>
      <c r="D30" s="8"/>
      <c r="E30" s="8"/>
    </row>
  </sheetData>
  <mergeCells count="19">
    <mergeCell ref="A7:B7"/>
    <mergeCell ref="A9:D9"/>
    <mergeCell ref="A10:E10"/>
    <mergeCell ref="A11:D11"/>
    <mergeCell ref="A12:E12"/>
    <mergeCell ref="A13:D13"/>
    <mergeCell ref="A15:C15"/>
    <mergeCell ref="A25:E25"/>
    <mergeCell ref="A26:E26"/>
    <mergeCell ref="A27:E27"/>
    <mergeCell ref="A28:E28"/>
    <mergeCell ref="A29:E29"/>
    <mergeCell ref="A17:E17"/>
    <mergeCell ref="A18:D18"/>
    <mergeCell ref="A19:D19"/>
    <mergeCell ref="A20:E20"/>
    <mergeCell ref="A21:E21"/>
    <mergeCell ref="A23:E23"/>
    <mergeCell ref="A24:E24"/>
  </mergeCells>
  <drawing r:id="rId1"/>
</worksheet>
</file>
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urav singh\Desktop\Excel\Assignment\"/>
    </mc:Choice>
  </mc:AlternateContent>
  <xr:revisionPtr revIDLastSave="0" documentId="13_ncr:1_{C3E20174-38F1-412E-8D3C-DD843B3394A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rt 1" sheetId="1" r:id="rId1"/>
    <sheet name="Part 2" sheetId="2" r:id="rId2"/>
    <sheet name="Part 3" sheetId="3" r:id="rId3"/>
    <sheet name="Part 4" sheetId="4" r:id="rId4"/>
    <sheet name="Part 5" sheetId="5" r:id="rId5"/>
    <sheet name="Part 6" sheetId="6" r:id="rId6"/>
    <sheet name="Part 7" sheetId="7" r:id="rId7"/>
    <sheet name="Part 8" sheetId="8" r:id="rId8"/>
    <sheet name="Part 9" sheetId="9" r:id="rId9"/>
    <sheet name="Part 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KgSUv8qNSgiTk4APY93TRDwNe3hJzkzzQTN+UA0WJxg=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E3" i="10"/>
  <c r="E4" i="10"/>
  <c r="E5" i="10"/>
  <c r="E6" i="10"/>
  <c r="E7" i="10"/>
  <c r="E8" i="10"/>
  <c r="E9" i="10"/>
  <c r="E10" i="10"/>
  <c r="E11" i="10"/>
  <c r="E12" i="10"/>
  <c r="E13" i="10"/>
  <c r="D4" i="10"/>
  <c r="D5" i="10"/>
  <c r="D6" i="10"/>
  <c r="D7" i="10"/>
  <c r="D8" i="10"/>
  <c r="D9" i="10"/>
  <c r="D10" i="10"/>
  <c r="D11" i="10"/>
  <c r="D12" i="10"/>
  <c r="D13" i="10"/>
  <c r="D3" i="10"/>
  <c r="D4" i="9"/>
  <c r="D5" i="9"/>
  <c r="D6" i="9"/>
  <c r="D7" i="9"/>
  <c r="D8" i="9"/>
  <c r="D9" i="9"/>
  <c r="D10" i="9"/>
  <c r="D11" i="9"/>
  <c r="D12" i="9"/>
  <c r="D3" i="9"/>
  <c r="D4" i="8"/>
  <c r="D5" i="8"/>
  <c r="D6" i="8"/>
  <c r="D7" i="8"/>
  <c r="D8" i="8"/>
  <c r="D9" i="8"/>
  <c r="D10" i="8"/>
  <c r="D11" i="8"/>
  <c r="D12" i="8"/>
  <c r="D13" i="8"/>
  <c r="D3" i="8"/>
  <c r="D4" i="7"/>
  <c r="D5" i="7"/>
  <c r="D6" i="7"/>
  <c r="D7" i="7"/>
  <c r="D8" i="7"/>
  <c r="D9" i="7"/>
  <c r="D10" i="7"/>
  <c r="D11" i="7"/>
  <c r="D12" i="7"/>
  <c r="D13" i="7"/>
  <c r="D3" i="7"/>
  <c r="F8" i="6"/>
  <c r="D4" i="4" l="1"/>
  <c r="D5" i="4"/>
  <c r="D6" i="4"/>
  <c r="D7" i="4"/>
  <c r="D8" i="4"/>
  <c r="D9" i="4"/>
  <c r="D10" i="4"/>
  <c r="D11" i="4"/>
  <c r="D12" i="4"/>
  <c r="D13" i="4"/>
  <c r="D3" i="4"/>
  <c r="H4" i="3"/>
  <c r="H5" i="3"/>
  <c r="H6" i="3"/>
  <c r="H7" i="3"/>
  <c r="H8" i="3"/>
  <c r="H9" i="3"/>
  <c r="H10" i="3"/>
  <c r="H11" i="3"/>
  <c r="H12" i="3"/>
  <c r="G4" i="3"/>
  <c r="G5" i="3"/>
  <c r="G6" i="3"/>
  <c r="G7" i="3"/>
  <c r="G8" i="3"/>
  <c r="G9" i="3"/>
  <c r="G10" i="3"/>
  <c r="G11" i="3"/>
  <c r="G12" i="3"/>
  <c r="F4" i="3"/>
  <c r="F5" i="3"/>
  <c r="F6" i="3"/>
  <c r="F7" i="3"/>
  <c r="F8" i="3"/>
  <c r="F9" i="3"/>
  <c r="F10" i="3"/>
  <c r="F11" i="3"/>
  <c r="F12" i="3"/>
  <c r="E4" i="3"/>
  <c r="E5" i="3"/>
  <c r="E6" i="3"/>
  <c r="E7" i="3"/>
  <c r="E8" i="3"/>
  <c r="E9" i="3"/>
  <c r="E10" i="3"/>
  <c r="E11" i="3"/>
  <c r="E12" i="3"/>
  <c r="H3" i="3"/>
  <c r="G3" i="3"/>
  <c r="F3" i="3"/>
  <c r="E3" i="3"/>
  <c r="G4" i="1"/>
  <c r="G5" i="1"/>
  <c r="G6" i="1"/>
  <c r="G7" i="1"/>
  <c r="G8" i="1"/>
  <c r="G9" i="1"/>
  <c r="G10" i="1"/>
  <c r="G11" i="1"/>
  <c r="G12" i="1"/>
  <c r="F4" i="1"/>
  <c r="F5" i="1"/>
  <c r="F6" i="1"/>
  <c r="F7" i="1"/>
  <c r="F8" i="1"/>
  <c r="F9" i="1"/>
  <c r="F10" i="1"/>
  <c r="F11" i="1"/>
  <c r="F12" i="1"/>
  <c r="E4" i="1"/>
  <c r="E5" i="1"/>
  <c r="E6" i="1"/>
  <c r="E7" i="1"/>
  <c r="E8" i="1"/>
  <c r="E9" i="1"/>
  <c r="E10" i="1"/>
  <c r="E11" i="1"/>
  <c r="E12" i="1"/>
  <c r="G3" i="1"/>
  <c r="F3" i="1"/>
  <c r="E3" i="1"/>
  <c r="D13" i="5" l="1"/>
  <c r="E13" i="5" s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D3" i="5"/>
  <c r="E3" i="5" s="1"/>
</calcChain>
</file>

<file path=xl/sharedStrings.xml><?xml version="1.0" encoding="utf-8"?>
<sst xmlns="http://schemas.openxmlformats.org/spreadsheetml/2006/main" count="116" uniqueCount="52">
  <si>
    <t xml:space="preserve">ID </t>
  </si>
  <si>
    <t>Name</t>
  </si>
  <si>
    <t>Entry Time</t>
  </si>
  <si>
    <t xml:space="preserve"> Hour</t>
  </si>
  <si>
    <t>Minutes</t>
  </si>
  <si>
    <t>Second</t>
  </si>
  <si>
    <t>Jack</t>
  </si>
  <si>
    <t>Mason</t>
  </si>
  <si>
    <t>Ellie</t>
  </si>
  <si>
    <t>Harry</t>
  </si>
  <si>
    <t>James</t>
  </si>
  <si>
    <t>William</t>
  </si>
  <si>
    <t>Oscar</t>
  </si>
  <si>
    <t>Lily</t>
  </si>
  <si>
    <t>Jessica</t>
  </si>
  <si>
    <t>Jacob</t>
  </si>
  <si>
    <t>Leaving Time</t>
  </si>
  <si>
    <t>Working Hours</t>
  </si>
  <si>
    <t xml:space="preserve">Date of joining </t>
  </si>
  <si>
    <t xml:space="preserve">Day </t>
  </si>
  <si>
    <t xml:space="preserve">Month </t>
  </si>
  <si>
    <t xml:space="preserve">year </t>
  </si>
  <si>
    <t xml:space="preserve">Total Year in the company till date </t>
  </si>
  <si>
    <t>Name of the Employee</t>
  </si>
  <si>
    <t>Date of joining</t>
  </si>
  <si>
    <t xml:space="preserve">Last date of probation date </t>
  </si>
  <si>
    <t>Richard Hockley</t>
  </si>
  <si>
    <t>Natasha Austin</t>
  </si>
  <si>
    <t>Shane Lee</t>
  </si>
  <si>
    <t>Graham Hick</t>
  </si>
  <si>
    <t>Gregory Simpson</t>
  </si>
  <si>
    <t>Alfred Moyes</t>
  </si>
  <si>
    <t>Usman Malik</t>
  </si>
  <si>
    <t>Christina Georgino</t>
  </si>
  <si>
    <t>Paul Orwell</t>
  </si>
  <si>
    <t>Jonathon North</t>
  </si>
  <si>
    <t>Mark Stevenson</t>
  </si>
  <si>
    <t xml:space="preserve">Current date </t>
  </si>
  <si>
    <t>No of days in the company</t>
  </si>
  <si>
    <t>List of Holidays</t>
  </si>
  <si>
    <t xml:space="preserve">Start date </t>
  </si>
  <si>
    <t>Last working date</t>
  </si>
  <si>
    <t xml:space="preserve">Find the no of working days in the company </t>
  </si>
  <si>
    <t>Dates</t>
  </si>
  <si>
    <t>NewDate</t>
  </si>
  <si>
    <t>End Of Month</t>
  </si>
  <si>
    <t>Number Format</t>
  </si>
  <si>
    <t xml:space="preserve">ShortCut Key </t>
  </si>
  <si>
    <t>Day Name</t>
  </si>
  <si>
    <t>Worked Till Today</t>
  </si>
  <si>
    <t>Quarter</t>
  </si>
  <si>
    <t>ctrl+shift+#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</si>
</sst>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yyyy/mm/dd"/>
    <numFmt numFmtId="166" formatCode="d/m/yyyy"/>
    <numFmt numFmtId="167" formatCode="[$-409]d\-mmm\-yyyy"/>
  </numFmts>
  <fonts count="12">
    <font>
      <sz val="11"/>
      <color theme="1"/>
      <name val="Calibri"/>
      <scheme val="minor"/>
    </font>
    <font>
      <b/>
      <sz val="14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2"/>
      <color theme="1"/>
      <name val="Times New Roman"/>
    </font>
    <font>
      <sz val="13"/>
      <color theme="1"/>
      <name val="Times New Roman"/>
    </font>
    <font>
      <b/>
      <sz val="13"/>
      <color theme="1"/>
      <name val="Calibri"/>
    </font>
    <font>
      <sz val="11"/>
      <name val="Calibri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5" fontId="5" fillId="0" borderId="0" xfId="0" applyNumberFormat="1" applyFont="1"/>
    <xf numFmtId="166" fontId="5" fillId="0" borderId="0" xfId="0" applyNumberFormat="1" applyFont="1"/>
    <xf numFmtId="165" fontId="2" fillId="0" borderId="1" xfId="0" applyNumberFormat="1" applyFont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5" fontId="8" fillId="6" borderId="1" xfId="0" applyNumberFormat="1" applyFont="1" applyFill="1" applyBorder="1" applyAlignment="1">
      <alignment horizontal="center"/>
    </xf>
    <xf numFmtId="0" fontId="5" fillId="0" borderId="1" xfId="0" applyFont="1" applyBorder="1"/>
    <xf numFmtId="164" fontId="11" fillId="3" borderId="1" xfId="0" applyNumberFormat="1" applyFont="1" applyFill="1" applyBorder="1" applyAlignment="1">
      <alignment horizontal="center" vertical="center"/>
    </xf>
    <xf numFmtId="15" fontId="3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4" fillId="3" borderId="4" xfId="0" applyFont="1" applyFill="1" applyBorder="1" applyAlignment="1">
      <alignment horizontal="center" vertical="center"/>
    </xf>
    <xf numFmtId="0" fontId="9" fillId="0" borderId="8" xfId="0" applyFont="1" applyBorder="1"/>
    <xf numFmtId="0" fontId="9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466725</xdr:colOff>
      <xdr:row>1</xdr:row>
      <xdr:rowOff>0</xdr:rowOff>
    </xdr:from>
    <xdr:ext cx="4191000" cy="1362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255263" y="3103725"/>
          <a:ext cx="4181475" cy="1352550"/>
        </a:xfrm>
        <a:prstGeom prst="cloudCallout">
          <a:avLst>
            <a:gd name="adj1" fmla="val -68930"/>
            <a:gd name="adj2" fmla="val 10119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1 - Extract the hours , minutes and second from the entry time 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571500</xdr:colOff>
      <xdr:row>0</xdr:row>
      <xdr:rowOff>0</xdr:rowOff>
    </xdr:from>
    <xdr:ext cx="3790950" cy="1781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455288" y="2894175"/>
          <a:ext cx="3781425" cy="1771650"/>
        </a:xfrm>
        <a:prstGeom prst="cloudCallout">
          <a:avLst>
            <a:gd name="adj1" fmla="val -75239"/>
            <a:gd name="adj2" fmla="val 16618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- Please find the data of employees entry time and leaving time  . You have to find the number of hours of working .</a:t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38100</xdr:rowOff>
    </xdr:from>
    <xdr:ext cx="3810000" cy="17716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445763" y="2898938"/>
          <a:ext cx="3800475" cy="1762125"/>
        </a:xfrm>
        <a:prstGeom prst="cloudCallout">
          <a:avLst>
            <a:gd name="adj1" fmla="val -75239"/>
            <a:gd name="adj2" fmla="val 16618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- Please find the data of employees date of joining . find the day , month , year part of date of joining  and aslo find the total no of year in the company .</a:t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2</xdr:row>
      <xdr:rowOff>47625</xdr:rowOff>
    </xdr:from>
    <xdr:ext cx="2828925" cy="13620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936300" y="3103725"/>
          <a:ext cx="2819400" cy="1352550"/>
        </a:xfrm>
        <a:prstGeom prst="wedgeEllipseCallout">
          <a:avLst>
            <a:gd name="adj1" fmla="val -72028"/>
            <a:gd name="adj2" fmla="val 2486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 - Assume there is  a company named A whose probation period is of 3 month from the date of joining . You have to find the last date of probation .</a:t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247650</xdr:colOff>
      <xdr:row>2</xdr:row>
      <xdr:rowOff>47625</xdr:rowOff>
    </xdr:from>
    <xdr:ext cx="2828925" cy="1362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936300" y="3103725"/>
          <a:ext cx="2819400" cy="1352550"/>
        </a:xfrm>
        <a:prstGeom prst="wedgeEllipseCallout">
          <a:avLst>
            <a:gd name="adj1" fmla="val -72028"/>
            <a:gd name="adj2" fmla="val 2486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 - Please find the date of joining of the employee and current date . Find the total no. of days a employee has spent in the company.</a:t>
          </a:r>
          <a:endParaRPr sz="1100" b="1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228600</xdr:colOff>
      <xdr:row>2</xdr:row>
      <xdr:rowOff>57150</xdr:rowOff>
    </xdr:from>
    <xdr:ext cx="3333750" cy="15811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3683888" y="2998950"/>
          <a:ext cx="3324225" cy="1562100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find the total no. of working days in the company with the help of function networkingdays exclude all the holidays from the list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247650</xdr:colOff>
      <xdr:row>0</xdr:row>
      <xdr:rowOff>123825</xdr:rowOff>
    </xdr:from>
    <xdr:ext cx="3571875" cy="13525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3564825" y="3113250"/>
          <a:ext cx="3562350" cy="1333500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Your Task is to extract Month and Year for each Date in the format like (February - 2020)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142875</xdr:colOff>
      <xdr:row>0</xdr:row>
      <xdr:rowOff>152400</xdr:rowOff>
    </xdr:from>
    <xdr:ext cx="5181600" cy="13811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2759963" y="3094200"/>
          <a:ext cx="5172075" cy="1371600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Your Task is to show the end Date of month for each Date and also convert the number format column into Date using Shortcut Key (Write the Shortcut Key too)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457200</xdr:colOff>
      <xdr:row>0</xdr:row>
      <xdr:rowOff>133350</xdr:rowOff>
    </xdr:from>
    <xdr:ext cx="3571875" cy="14097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3564825" y="3079913"/>
          <a:ext cx="3562350" cy="1400175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Please Find the day of the week the employee joined using the TEXT function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1</xdr:row>
      <xdr:rowOff>38100</xdr:rowOff>
    </xdr:from>
    <xdr:ext cx="5476875" cy="1485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2612325" y="3041813"/>
          <a:ext cx="5467350" cy="1476375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Please Find the total number of days each employee has worked till today using the Date of Joining and then extract the Quarter in which they joined (Q1, Q2, etc.)</a:t>
          </a:r>
          <a:endParaRPr sz="13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0"/>
  <sheetViews>
    <sheetView showGridLines="0" workbookViewId="0">
      <selection activeCell="G3" sqref="G3:G12"/>
    </sheetView>
  </sheetViews>
  <sheetFormatPr defaultColWidth="14.44140625" defaultRowHeight="15" customHeight="1"/>
  <cols>
    <col min="1" max="1" width="8.6640625" customWidth="1"/>
    <col min="2" max="2" width="5.44140625" customWidth="1"/>
    <col min="3" max="3" width="14.33203125" customWidth="1"/>
    <col min="4" max="4" width="18.6640625" customWidth="1"/>
    <col min="5" max="5" width="19" customWidth="1"/>
    <col min="6" max="6" width="9.6640625" customWidth="1"/>
    <col min="7" max="7" width="10.6640625" customWidth="1"/>
    <col min="8" max="26" width="8.6640625" customWidth="1"/>
  </cols>
  <sheetData>
    <row r="1" spans="2:7" ht="14.25" customHeight="1"/>
    <row r="2" spans="2:7" ht="14.2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4.25" customHeight="1">
      <c r="B3" s="2">
        <v>1122</v>
      </c>
      <c r="C3" s="2" t="s">
        <v>6</v>
      </c>
      <c r="D3" s="3">
        <v>0.33385416666666662</v>
      </c>
      <c r="E3" s="4">
        <f>HOUR(D3)</f>
        <v>8</v>
      </c>
      <c r="F3" s="5">
        <f>MINUTE(D3)</f>
        <v>0</v>
      </c>
      <c r="G3" s="5">
        <f>SECOND(D3)</f>
        <v>45</v>
      </c>
    </row>
    <row r="4" spans="2:7" ht="14.25" customHeight="1">
      <c r="B4" s="2">
        <v>1133</v>
      </c>
      <c r="C4" s="2" t="s">
        <v>7</v>
      </c>
      <c r="D4" s="3">
        <v>0.35788194444444449</v>
      </c>
      <c r="E4" s="4">
        <f t="shared" ref="E4:E12" si="0">HOUR(D4)</f>
        <v>8</v>
      </c>
      <c r="F4" s="5">
        <f t="shared" ref="F4:F12" si="1">MINUTE(D4)</f>
        <v>35</v>
      </c>
      <c r="G4" s="5">
        <f t="shared" ref="G4:G12" si="2">SECOND(D4)</f>
        <v>21</v>
      </c>
    </row>
    <row r="5" spans="2:7" ht="14.25" customHeight="1">
      <c r="B5" s="2">
        <v>1144</v>
      </c>
      <c r="C5" s="2" t="s">
        <v>8</v>
      </c>
      <c r="D5" s="3">
        <v>0.8022569444444444</v>
      </c>
      <c r="E5" s="4">
        <f t="shared" si="0"/>
        <v>19</v>
      </c>
      <c r="F5" s="5">
        <f t="shared" si="1"/>
        <v>15</v>
      </c>
      <c r="G5" s="5">
        <f t="shared" si="2"/>
        <v>15</v>
      </c>
    </row>
    <row r="6" spans="2:7" ht="14.25" customHeight="1">
      <c r="B6" s="2">
        <v>1155</v>
      </c>
      <c r="C6" s="2" t="s">
        <v>9</v>
      </c>
      <c r="D6" s="3">
        <v>0.33358796296296295</v>
      </c>
      <c r="E6" s="4">
        <f t="shared" si="0"/>
        <v>8</v>
      </c>
      <c r="F6" s="5">
        <f t="shared" si="1"/>
        <v>0</v>
      </c>
      <c r="G6" s="5">
        <f t="shared" si="2"/>
        <v>22</v>
      </c>
    </row>
    <row r="7" spans="2:7" ht="14.25" customHeight="1">
      <c r="B7" s="2">
        <v>1166</v>
      </c>
      <c r="C7" s="2" t="s">
        <v>10</v>
      </c>
      <c r="D7" s="3">
        <v>0.88642361111111112</v>
      </c>
      <c r="E7" s="4">
        <f t="shared" si="0"/>
        <v>21</v>
      </c>
      <c r="F7" s="5">
        <f t="shared" si="1"/>
        <v>16</v>
      </c>
      <c r="G7" s="5">
        <f t="shared" si="2"/>
        <v>27</v>
      </c>
    </row>
    <row r="8" spans="2:7" ht="14.25" customHeight="1">
      <c r="B8" s="2">
        <v>1177</v>
      </c>
      <c r="C8" s="2" t="s">
        <v>11</v>
      </c>
      <c r="D8" s="3">
        <v>0.41666666666666669</v>
      </c>
      <c r="E8" s="4">
        <f t="shared" si="0"/>
        <v>10</v>
      </c>
      <c r="F8" s="5">
        <f t="shared" si="1"/>
        <v>0</v>
      </c>
      <c r="G8" s="5">
        <f t="shared" si="2"/>
        <v>0</v>
      </c>
    </row>
    <row r="9" spans="2:7" ht="14.25" customHeight="1">
      <c r="B9" s="2">
        <v>1188</v>
      </c>
      <c r="C9" s="2" t="s">
        <v>12</v>
      </c>
      <c r="D9" s="3">
        <v>0.29203703703703704</v>
      </c>
      <c r="E9" s="4">
        <f t="shared" si="0"/>
        <v>7</v>
      </c>
      <c r="F9" s="5">
        <f t="shared" si="1"/>
        <v>0</v>
      </c>
      <c r="G9" s="5">
        <f t="shared" si="2"/>
        <v>32</v>
      </c>
    </row>
    <row r="10" spans="2:7" ht="14.25" customHeight="1">
      <c r="B10" s="2">
        <v>1199</v>
      </c>
      <c r="C10" s="2" t="s">
        <v>13</v>
      </c>
      <c r="D10" s="3">
        <v>0.29166666666666669</v>
      </c>
      <c r="E10" s="4">
        <f t="shared" si="0"/>
        <v>7</v>
      </c>
      <c r="F10" s="5">
        <f t="shared" si="1"/>
        <v>0</v>
      </c>
      <c r="G10" s="5">
        <f t="shared" si="2"/>
        <v>0</v>
      </c>
    </row>
    <row r="11" spans="2:7" ht="14.25" customHeight="1">
      <c r="B11" s="2">
        <v>1100</v>
      </c>
      <c r="C11" s="2" t="s">
        <v>14</v>
      </c>
      <c r="D11" s="3">
        <v>0.76250000000000007</v>
      </c>
      <c r="E11" s="4">
        <f t="shared" si="0"/>
        <v>18</v>
      </c>
      <c r="F11" s="5">
        <f t="shared" si="1"/>
        <v>18</v>
      </c>
      <c r="G11" s="5">
        <f t="shared" si="2"/>
        <v>0</v>
      </c>
    </row>
    <row r="12" spans="2:7" ht="14.25" customHeight="1">
      <c r="B12" s="2">
        <v>2200</v>
      </c>
      <c r="C12" s="2" t="s">
        <v>15</v>
      </c>
      <c r="D12" s="3">
        <v>0.45581018518518518</v>
      </c>
      <c r="E12" s="4">
        <f t="shared" si="0"/>
        <v>10</v>
      </c>
      <c r="F12" s="5">
        <f t="shared" si="1"/>
        <v>56</v>
      </c>
      <c r="G12" s="5">
        <f t="shared" si="2"/>
        <v>22</v>
      </c>
    </row>
    <row r="13" spans="2:7" ht="14.25" customHeight="1"/>
    <row r="14" spans="2:7" ht="14.25" customHeight="1"/>
    <row r="15" spans="2:7" ht="14.25" customHeight="1"/>
    <row r="16" spans="2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00"/>
  <sheetViews>
    <sheetView showGridLines="0" tabSelected="1" workbookViewId="0">
      <selection activeCell="F3" sqref="F3"/>
    </sheetView>
  </sheetViews>
  <sheetFormatPr defaultColWidth="14.44140625" defaultRowHeight="15" customHeight="1"/>
  <cols>
    <col min="1" max="2" width="8.6640625" customWidth="1"/>
    <col min="3" max="3" width="8.109375" customWidth="1"/>
    <col min="4" max="4" width="15.44140625" customWidth="1"/>
    <col min="5" max="5" width="17.33203125" customWidth="1"/>
    <col min="6" max="6" width="23.21875" customWidth="1"/>
    <col min="7" max="26" width="8.6640625" customWidth="1"/>
  </cols>
  <sheetData>
    <row r="1" spans="2:6" ht="14.25" customHeight="1"/>
    <row r="2" spans="2:6" ht="14.25" customHeight="1">
      <c r="B2" s="1" t="s">
        <v>0</v>
      </c>
      <c r="C2" s="1" t="s">
        <v>1</v>
      </c>
      <c r="D2" s="1" t="s">
        <v>2</v>
      </c>
      <c r="E2" s="1" t="s">
        <v>16</v>
      </c>
      <c r="F2" s="1" t="s">
        <v>17</v>
      </c>
    </row>
    <row r="3" spans="2:6" ht="14.25" customHeight="1">
      <c r="B3" s="2">
        <v>1122</v>
      </c>
      <c r="C3" s="2" t="s">
        <v>6</v>
      </c>
      <c r="D3" s="3">
        <v>0.33333333333333331</v>
      </c>
      <c r="E3" s="3">
        <v>0.70833333333333337</v>
      </c>
      <c r="F3" s="19">
        <f>MOD(E3-D3,1)</f>
        <v>0.37500000000000006</v>
      </c>
    </row>
    <row r="4" spans="2:6" ht="14.25" customHeight="1">
      <c r="B4" s="2">
        <v>1133</v>
      </c>
      <c r="C4" s="2" t="s">
        <v>7</v>
      </c>
      <c r="D4" s="3">
        <v>0.3576388888888889</v>
      </c>
      <c r="E4" s="3">
        <v>0.75</v>
      </c>
      <c r="F4" s="19">
        <f t="shared" ref="F4:F12" si="0">MOD(E4-D4,1)</f>
        <v>0.3923611111111111</v>
      </c>
    </row>
    <row r="5" spans="2:6" ht="14.25" customHeight="1">
      <c r="B5" s="2">
        <v>1144</v>
      </c>
      <c r="C5" s="2" t="s">
        <v>8</v>
      </c>
      <c r="D5" s="3">
        <v>0.80208333333333337</v>
      </c>
      <c r="E5" s="3">
        <v>0.25</v>
      </c>
      <c r="F5" s="19">
        <f t="shared" si="0"/>
        <v>0.44791666666666663</v>
      </c>
    </row>
    <row r="6" spans="2:6" ht="14.25" customHeight="1">
      <c r="B6" s="2">
        <v>1155</v>
      </c>
      <c r="C6" s="2" t="s">
        <v>9</v>
      </c>
      <c r="D6" s="3">
        <v>0.33333333333333331</v>
      </c>
      <c r="E6" s="3">
        <v>0.77083333333333337</v>
      </c>
      <c r="F6" s="19">
        <f t="shared" si="0"/>
        <v>0.43750000000000006</v>
      </c>
    </row>
    <row r="7" spans="2:6" ht="14.25" customHeight="1">
      <c r="B7" s="2">
        <v>1166</v>
      </c>
      <c r="C7" s="2" t="s">
        <v>10</v>
      </c>
      <c r="D7" s="3">
        <v>0.88541666666666663</v>
      </c>
      <c r="E7" s="3">
        <v>0.30208333333333331</v>
      </c>
      <c r="F7" s="19">
        <f t="shared" si="0"/>
        <v>0.41666666666666674</v>
      </c>
    </row>
    <row r="8" spans="2:6" ht="14.25" customHeight="1">
      <c r="B8" s="2">
        <v>1177</v>
      </c>
      <c r="C8" s="2" t="s">
        <v>11</v>
      </c>
      <c r="D8" s="3">
        <v>0.41666666666666669</v>
      </c>
      <c r="E8" s="3">
        <v>0.84722222222222221</v>
      </c>
      <c r="F8" s="19">
        <f t="shared" si="0"/>
        <v>0.43055555555555552</v>
      </c>
    </row>
    <row r="9" spans="2:6" ht="14.25" customHeight="1">
      <c r="B9" s="2">
        <v>1188</v>
      </c>
      <c r="C9" s="2" t="s">
        <v>12</v>
      </c>
      <c r="D9" s="3">
        <v>0.29166666666666669</v>
      </c>
      <c r="E9" s="3">
        <v>0.70833333333333337</v>
      </c>
      <c r="F9" s="19">
        <f t="shared" si="0"/>
        <v>0.41666666666666669</v>
      </c>
    </row>
    <row r="10" spans="2:6" ht="14.25" customHeight="1">
      <c r="B10" s="2">
        <v>1199</v>
      </c>
      <c r="C10" s="2" t="s">
        <v>13</v>
      </c>
      <c r="D10" s="3">
        <v>0.29166666666666669</v>
      </c>
      <c r="E10" s="3">
        <v>0.72916666666666663</v>
      </c>
      <c r="F10" s="19">
        <f t="shared" si="0"/>
        <v>0.43749999999999994</v>
      </c>
    </row>
    <row r="11" spans="2:6" ht="14.25" customHeight="1">
      <c r="B11" s="2">
        <v>1100</v>
      </c>
      <c r="C11" s="2" t="s">
        <v>14</v>
      </c>
      <c r="D11" s="3">
        <v>0.76250000000000007</v>
      </c>
      <c r="E11" s="3">
        <v>0.22916666666666666</v>
      </c>
      <c r="F11" s="19">
        <f t="shared" si="0"/>
        <v>0.46666666666666656</v>
      </c>
    </row>
    <row r="12" spans="2:6" ht="14.25" customHeight="1">
      <c r="B12" s="2">
        <v>2200</v>
      </c>
      <c r="C12" s="2" t="s">
        <v>15</v>
      </c>
      <c r="D12" s="3">
        <v>0.45555555555555555</v>
      </c>
      <c r="E12" s="3">
        <v>0.89236111111111116</v>
      </c>
      <c r="F12" s="19">
        <f t="shared" si="0"/>
        <v>0.43680555555555561</v>
      </c>
    </row>
    <row r="13" spans="2:6" ht="14.25" customHeight="1"/>
    <row r="14" spans="2:6" ht="14.25" customHeight="1"/>
    <row r="15" spans="2:6" ht="14.25" customHeight="1"/>
    <row r="16" spans="2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00"/>
  <sheetViews>
    <sheetView showGridLines="0" workbookViewId="0">
      <selection activeCell="I3" sqref="I3"/>
    </sheetView>
  </sheetViews>
  <sheetFormatPr defaultColWidth="14.44140625" defaultRowHeight="15" customHeight="1"/>
  <cols>
    <col min="1" max="3" width="8.6640625" customWidth="1"/>
    <col min="4" max="4" width="17.33203125" customWidth="1"/>
    <col min="5" max="7" width="8.6640625" customWidth="1"/>
    <col min="8" max="8" width="38.6640625" customWidth="1"/>
    <col min="9" max="9" width="8.6640625" customWidth="1"/>
    <col min="10" max="10" width="10.33203125" customWidth="1"/>
    <col min="11" max="26" width="8.6640625" customWidth="1"/>
  </cols>
  <sheetData>
    <row r="1" spans="2:10" ht="14.25" customHeight="1"/>
    <row r="2" spans="2:10" ht="14.25" customHeight="1">
      <c r="B2" s="7" t="s">
        <v>0</v>
      </c>
      <c r="C2" s="7" t="s">
        <v>1</v>
      </c>
      <c r="D2" s="7" t="s">
        <v>18</v>
      </c>
      <c r="E2" s="8" t="s">
        <v>19</v>
      </c>
      <c r="F2" s="8" t="s">
        <v>20</v>
      </c>
      <c r="G2" s="8" t="s">
        <v>21</v>
      </c>
      <c r="H2" s="8" t="s">
        <v>22</v>
      </c>
    </row>
    <row r="3" spans="2:10" ht="14.25" customHeight="1">
      <c r="B3" s="2">
        <v>1122</v>
      </c>
      <c r="C3" s="2" t="s">
        <v>6</v>
      </c>
      <c r="D3" s="9">
        <v>44593</v>
      </c>
      <c r="E3" s="5">
        <f>DAY(D3)</f>
        <v>1</v>
      </c>
      <c r="F3" s="5">
        <f xml:space="preserve"> MONTH(D3)</f>
        <v>2</v>
      </c>
      <c r="G3" s="5">
        <f>YEAR(D3)</f>
        <v>2022</v>
      </c>
      <c r="H3" s="5">
        <f ca="1">YEAR(NOW())-G3</f>
        <v>4</v>
      </c>
      <c r="J3" s="10"/>
    </row>
    <row r="4" spans="2:10" ht="14.25" customHeight="1">
      <c r="B4" s="2">
        <v>1133</v>
      </c>
      <c r="C4" s="2" t="s">
        <v>7</v>
      </c>
      <c r="D4" s="9">
        <v>44361</v>
      </c>
      <c r="E4" s="5">
        <f t="shared" ref="E4:E12" si="0">DAY(D4)</f>
        <v>14</v>
      </c>
      <c r="F4" s="5">
        <f t="shared" ref="F4:F12" si="1" xml:space="preserve"> MONTH(D4)</f>
        <v>6</v>
      </c>
      <c r="G4" s="5">
        <f t="shared" ref="G4:G12" si="2">YEAR(D4)</f>
        <v>2021</v>
      </c>
      <c r="H4" s="5">
        <f t="shared" ref="H4:H12" ca="1" si="3">YEAR(NOW())-G4</f>
        <v>5</v>
      </c>
    </row>
    <row r="5" spans="2:10" ht="14.25" customHeight="1">
      <c r="B5" s="2">
        <v>1144</v>
      </c>
      <c r="C5" s="2" t="s">
        <v>8</v>
      </c>
      <c r="D5" s="9">
        <v>43557</v>
      </c>
      <c r="E5" s="5">
        <f t="shared" si="0"/>
        <v>2</v>
      </c>
      <c r="F5" s="5">
        <f t="shared" si="1"/>
        <v>4</v>
      </c>
      <c r="G5" s="5">
        <f t="shared" si="2"/>
        <v>2019</v>
      </c>
      <c r="H5" s="5">
        <f t="shared" ca="1" si="3"/>
        <v>7</v>
      </c>
    </row>
    <row r="6" spans="2:10" ht="14.25" customHeight="1">
      <c r="B6" s="2">
        <v>1155</v>
      </c>
      <c r="C6" s="2" t="s">
        <v>9</v>
      </c>
      <c r="D6" s="9">
        <v>44062</v>
      </c>
      <c r="E6" s="5">
        <f t="shared" si="0"/>
        <v>19</v>
      </c>
      <c r="F6" s="5">
        <f t="shared" si="1"/>
        <v>8</v>
      </c>
      <c r="G6" s="5">
        <f t="shared" si="2"/>
        <v>2020</v>
      </c>
      <c r="H6" s="5">
        <f t="shared" ca="1" si="3"/>
        <v>6</v>
      </c>
    </row>
    <row r="7" spans="2:10" ht="14.25" customHeight="1">
      <c r="B7" s="2">
        <v>1166</v>
      </c>
      <c r="C7" s="2" t="s">
        <v>10</v>
      </c>
      <c r="D7" s="9">
        <v>44940</v>
      </c>
      <c r="E7" s="5">
        <f t="shared" si="0"/>
        <v>14</v>
      </c>
      <c r="F7" s="5">
        <f t="shared" si="1"/>
        <v>1</v>
      </c>
      <c r="G7" s="5">
        <f t="shared" si="2"/>
        <v>2023</v>
      </c>
      <c r="H7" s="5">
        <f t="shared" ca="1" si="3"/>
        <v>3</v>
      </c>
    </row>
    <row r="8" spans="2:10" ht="14.25" customHeight="1">
      <c r="B8" s="2">
        <v>1177</v>
      </c>
      <c r="C8" s="2" t="s">
        <v>11</v>
      </c>
      <c r="D8" s="9">
        <v>43446</v>
      </c>
      <c r="E8" s="5">
        <f t="shared" si="0"/>
        <v>12</v>
      </c>
      <c r="F8" s="5">
        <f t="shared" si="1"/>
        <v>12</v>
      </c>
      <c r="G8" s="5">
        <f t="shared" si="2"/>
        <v>2018</v>
      </c>
      <c r="H8" s="5">
        <f t="shared" ca="1" si="3"/>
        <v>8</v>
      </c>
    </row>
    <row r="9" spans="2:10" ht="14.25" customHeight="1">
      <c r="B9" s="2">
        <v>1188</v>
      </c>
      <c r="C9" s="2" t="s">
        <v>12</v>
      </c>
      <c r="D9" s="9">
        <v>43025</v>
      </c>
      <c r="E9" s="5">
        <f t="shared" si="0"/>
        <v>17</v>
      </c>
      <c r="F9" s="5">
        <f t="shared" si="1"/>
        <v>10</v>
      </c>
      <c r="G9" s="5">
        <f t="shared" si="2"/>
        <v>2017</v>
      </c>
      <c r="H9" s="5">
        <f t="shared" ca="1" si="3"/>
        <v>9</v>
      </c>
    </row>
    <row r="10" spans="2:10" ht="14.25" customHeight="1">
      <c r="B10" s="2">
        <v>1199</v>
      </c>
      <c r="C10" s="2" t="s">
        <v>13</v>
      </c>
      <c r="D10" s="9">
        <v>43875</v>
      </c>
      <c r="E10" s="5">
        <f t="shared" si="0"/>
        <v>14</v>
      </c>
      <c r="F10" s="5">
        <f t="shared" si="1"/>
        <v>2</v>
      </c>
      <c r="G10" s="5">
        <f t="shared" si="2"/>
        <v>2020</v>
      </c>
      <c r="H10" s="5">
        <f t="shared" ca="1" si="3"/>
        <v>6</v>
      </c>
    </row>
    <row r="11" spans="2:10" ht="14.25" customHeight="1">
      <c r="B11" s="2">
        <v>1100</v>
      </c>
      <c r="C11" s="2" t="s">
        <v>14</v>
      </c>
      <c r="D11" s="9">
        <v>44616</v>
      </c>
      <c r="E11" s="5">
        <f t="shared" si="0"/>
        <v>24</v>
      </c>
      <c r="F11" s="5">
        <f t="shared" si="1"/>
        <v>2</v>
      </c>
      <c r="G11" s="5">
        <f t="shared" si="2"/>
        <v>2022</v>
      </c>
      <c r="H11" s="5">
        <f t="shared" ca="1" si="3"/>
        <v>4</v>
      </c>
      <c r="J11" s="11"/>
    </row>
    <row r="12" spans="2:10" ht="14.25" customHeight="1">
      <c r="B12" s="2">
        <v>2200</v>
      </c>
      <c r="C12" s="2" t="s">
        <v>15</v>
      </c>
      <c r="D12" s="9">
        <v>43489</v>
      </c>
      <c r="E12" s="5">
        <f t="shared" si="0"/>
        <v>24</v>
      </c>
      <c r="F12" s="5">
        <f t="shared" si="1"/>
        <v>1</v>
      </c>
      <c r="G12" s="5">
        <f t="shared" si="2"/>
        <v>2019</v>
      </c>
      <c r="H12" s="5">
        <f t="shared" ca="1" si="3"/>
        <v>7</v>
      </c>
    </row>
    <row r="13" spans="2:10" ht="14.25" customHeight="1"/>
    <row r="14" spans="2:10" ht="14.25" customHeight="1"/>
    <row r="15" spans="2:10" ht="14.25" customHeight="1"/>
    <row r="16" spans="2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000"/>
  <sheetViews>
    <sheetView showGridLines="0" workbookViewId="0">
      <selection activeCell="D3" sqref="D3:D13"/>
    </sheetView>
  </sheetViews>
  <sheetFormatPr defaultColWidth="14.44140625" defaultRowHeight="15" customHeight="1"/>
  <cols>
    <col min="1" max="1" width="8.6640625" customWidth="1"/>
    <col min="2" max="2" width="26.6640625" customWidth="1"/>
    <col min="3" max="3" width="16.6640625" customWidth="1"/>
    <col min="4" max="4" width="30.5546875" customWidth="1"/>
    <col min="5" max="26" width="8.6640625" customWidth="1"/>
  </cols>
  <sheetData>
    <row r="1" spans="2:4" ht="14.25" customHeight="1"/>
    <row r="2" spans="2:4" ht="14.25" customHeight="1">
      <c r="B2" s="1" t="s">
        <v>23</v>
      </c>
      <c r="C2" s="1" t="s">
        <v>24</v>
      </c>
      <c r="D2" s="1" t="s">
        <v>25</v>
      </c>
    </row>
    <row r="3" spans="2:4" ht="14.25" customHeight="1">
      <c r="B3" s="2" t="s">
        <v>26</v>
      </c>
      <c r="C3" s="12">
        <v>44604</v>
      </c>
      <c r="D3" s="13">
        <f>EDATE(C3,3)</f>
        <v>44693</v>
      </c>
    </row>
    <row r="4" spans="2:4" ht="14.25" customHeight="1">
      <c r="B4" s="2" t="s">
        <v>27</v>
      </c>
      <c r="C4" s="12">
        <v>44593</v>
      </c>
      <c r="D4" s="13">
        <f t="shared" ref="D4:D13" si="0">EDATE(C4,3)</f>
        <v>44682</v>
      </c>
    </row>
    <row r="5" spans="2:4" ht="14.25" customHeight="1">
      <c r="B5" s="2" t="s">
        <v>28</v>
      </c>
      <c r="C5" s="12">
        <v>44179</v>
      </c>
      <c r="D5" s="13">
        <f t="shared" si="0"/>
        <v>44269</v>
      </c>
    </row>
    <row r="6" spans="2:4" ht="14.25" customHeight="1">
      <c r="B6" s="2" t="s">
        <v>29</v>
      </c>
      <c r="C6" s="12">
        <v>44242</v>
      </c>
      <c r="D6" s="13">
        <f t="shared" si="0"/>
        <v>44331</v>
      </c>
    </row>
    <row r="7" spans="2:4" ht="14.25" customHeight="1">
      <c r="B7" s="2" t="s">
        <v>30</v>
      </c>
      <c r="C7" s="12">
        <v>44577</v>
      </c>
      <c r="D7" s="13">
        <f t="shared" si="0"/>
        <v>44667</v>
      </c>
    </row>
    <row r="8" spans="2:4" ht="14.25" customHeight="1">
      <c r="B8" s="2" t="s">
        <v>31</v>
      </c>
      <c r="C8" s="12">
        <v>44637</v>
      </c>
      <c r="D8" s="13">
        <f t="shared" si="0"/>
        <v>44729</v>
      </c>
    </row>
    <row r="9" spans="2:4" ht="14.25" customHeight="1">
      <c r="B9" s="2" t="s">
        <v>32</v>
      </c>
      <c r="C9" s="12">
        <v>44823</v>
      </c>
      <c r="D9" s="13">
        <f t="shared" si="0"/>
        <v>44914</v>
      </c>
    </row>
    <row r="10" spans="2:4" ht="14.25" customHeight="1">
      <c r="B10" s="2" t="s">
        <v>33</v>
      </c>
      <c r="C10" s="12">
        <v>44825</v>
      </c>
      <c r="D10" s="13">
        <f t="shared" si="0"/>
        <v>44916</v>
      </c>
    </row>
    <row r="11" spans="2:4" ht="14.25" customHeight="1">
      <c r="B11" s="2" t="s">
        <v>34</v>
      </c>
      <c r="C11" s="12">
        <v>44670</v>
      </c>
      <c r="D11" s="13">
        <f t="shared" si="0"/>
        <v>44761</v>
      </c>
    </row>
    <row r="12" spans="2:4" ht="14.25" customHeight="1">
      <c r="B12" s="2" t="s">
        <v>35</v>
      </c>
      <c r="C12" s="12">
        <v>44916</v>
      </c>
      <c r="D12" s="13">
        <f t="shared" si="0"/>
        <v>45006</v>
      </c>
    </row>
    <row r="13" spans="2:4" ht="14.25" customHeight="1">
      <c r="B13" s="2" t="s">
        <v>36</v>
      </c>
      <c r="C13" s="12">
        <v>44614</v>
      </c>
      <c r="D13" s="13">
        <f t="shared" si="0"/>
        <v>44703</v>
      </c>
    </row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000"/>
  <sheetViews>
    <sheetView showGridLines="0" workbookViewId="0">
      <selection activeCell="F4" sqref="F4"/>
    </sheetView>
  </sheetViews>
  <sheetFormatPr defaultColWidth="14.44140625" defaultRowHeight="15" customHeight="1"/>
  <cols>
    <col min="1" max="1" width="8.6640625" customWidth="1"/>
    <col min="2" max="2" width="26.6640625" customWidth="1"/>
    <col min="3" max="4" width="16.6640625" customWidth="1"/>
    <col min="5" max="5" width="30.5546875" customWidth="1"/>
    <col min="6" max="26" width="8.6640625" customWidth="1"/>
  </cols>
  <sheetData>
    <row r="1" spans="2:5" ht="14.25" customHeight="1"/>
    <row r="2" spans="2:5" ht="14.25" customHeight="1">
      <c r="B2" s="1" t="s">
        <v>23</v>
      </c>
      <c r="C2" s="1" t="s">
        <v>24</v>
      </c>
      <c r="D2" s="1" t="s">
        <v>37</v>
      </c>
      <c r="E2" s="1" t="s">
        <v>38</v>
      </c>
    </row>
    <row r="3" spans="2:5" ht="14.25" customHeight="1">
      <c r="B3" s="2" t="s">
        <v>26</v>
      </c>
      <c r="C3" s="12">
        <v>44604</v>
      </c>
      <c r="D3" s="12">
        <f t="shared" ref="D3:D13" ca="1" si="0">TODAY()</f>
        <v>46144</v>
      </c>
      <c r="E3" s="6">
        <f ca="1">DATEDIF(C3,D3,"D")</f>
        <v>1540</v>
      </c>
    </row>
    <row r="4" spans="2:5" ht="14.25" customHeight="1">
      <c r="B4" s="2" t="s">
        <v>27</v>
      </c>
      <c r="C4" s="12">
        <v>44593</v>
      </c>
      <c r="D4" s="12">
        <f t="shared" ca="1" si="0"/>
        <v>46144</v>
      </c>
      <c r="E4" s="6">
        <f t="shared" ref="E4:E13" ca="1" si="1">DATEDIF(C4,D4,"D")</f>
        <v>1551</v>
      </c>
    </row>
    <row r="5" spans="2:5" ht="14.25" customHeight="1">
      <c r="B5" s="2" t="s">
        <v>28</v>
      </c>
      <c r="C5" s="12">
        <v>44179</v>
      </c>
      <c r="D5" s="12">
        <f t="shared" ca="1" si="0"/>
        <v>46144</v>
      </c>
      <c r="E5" s="6">
        <f t="shared" ca="1" si="1"/>
        <v>1965</v>
      </c>
    </row>
    <row r="6" spans="2:5" ht="14.25" customHeight="1">
      <c r="B6" s="2" t="s">
        <v>29</v>
      </c>
      <c r="C6" s="12">
        <v>44242</v>
      </c>
      <c r="D6" s="12">
        <f t="shared" ca="1" si="0"/>
        <v>46144</v>
      </c>
      <c r="E6" s="6">
        <f t="shared" ca="1" si="1"/>
        <v>1902</v>
      </c>
    </row>
    <row r="7" spans="2:5" ht="14.25" customHeight="1">
      <c r="B7" s="2" t="s">
        <v>30</v>
      </c>
      <c r="C7" s="12">
        <v>44577</v>
      </c>
      <c r="D7" s="12">
        <f t="shared" ca="1" si="0"/>
        <v>46144</v>
      </c>
      <c r="E7" s="6">
        <f t="shared" ca="1" si="1"/>
        <v>1567</v>
      </c>
    </row>
    <row r="8" spans="2:5" ht="14.25" customHeight="1">
      <c r="B8" s="2" t="s">
        <v>31</v>
      </c>
      <c r="C8" s="12">
        <v>44637</v>
      </c>
      <c r="D8" s="12">
        <f t="shared" ca="1" si="0"/>
        <v>46144</v>
      </c>
      <c r="E8" s="6">
        <f t="shared" ca="1" si="1"/>
        <v>1507</v>
      </c>
    </row>
    <row r="9" spans="2:5" ht="14.25" customHeight="1">
      <c r="B9" s="2" t="s">
        <v>32</v>
      </c>
      <c r="C9" s="12">
        <v>44823</v>
      </c>
      <c r="D9" s="12">
        <f t="shared" ca="1" si="0"/>
        <v>46144</v>
      </c>
      <c r="E9" s="6">
        <f t="shared" ca="1" si="1"/>
        <v>1321</v>
      </c>
    </row>
    <row r="10" spans="2:5" ht="14.25" customHeight="1">
      <c r="B10" s="2" t="s">
        <v>33</v>
      </c>
      <c r="C10" s="12">
        <v>44825</v>
      </c>
      <c r="D10" s="12">
        <f t="shared" ca="1" si="0"/>
        <v>46144</v>
      </c>
      <c r="E10" s="6">
        <f t="shared" ca="1" si="1"/>
        <v>1319</v>
      </c>
    </row>
    <row r="11" spans="2:5" ht="14.25" customHeight="1">
      <c r="B11" s="2" t="s">
        <v>34</v>
      </c>
      <c r="C11" s="12">
        <v>44670</v>
      </c>
      <c r="D11" s="12">
        <f t="shared" ca="1" si="0"/>
        <v>46144</v>
      </c>
      <c r="E11" s="6">
        <f t="shared" ca="1" si="1"/>
        <v>1474</v>
      </c>
    </row>
    <row r="12" spans="2:5" ht="14.25" customHeight="1">
      <c r="B12" s="2" t="s">
        <v>35</v>
      </c>
      <c r="C12" s="12">
        <v>44916</v>
      </c>
      <c r="D12" s="12">
        <f t="shared" ca="1" si="0"/>
        <v>46144</v>
      </c>
      <c r="E12" s="6">
        <f t="shared" ca="1" si="1"/>
        <v>1228</v>
      </c>
    </row>
    <row r="13" spans="2:5" ht="14.25" customHeight="1">
      <c r="B13" s="2" t="s">
        <v>36</v>
      </c>
      <c r="C13" s="12">
        <v>44614</v>
      </c>
      <c r="D13" s="12">
        <f t="shared" ca="1" si="0"/>
        <v>46144</v>
      </c>
      <c r="E13" s="6">
        <f t="shared" ca="1" si="1"/>
        <v>1530</v>
      </c>
    </row>
    <row r="14" spans="2:5" ht="14.25" customHeight="1"/>
    <row r="15" spans="2:5" ht="14.25" customHeight="1"/>
    <row r="16" spans="2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000"/>
  <sheetViews>
    <sheetView showGridLines="0" workbookViewId="0">
      <selection activeCell="F11" sqref="F11"/>
    </sheetView>
  </sheetViews>
  <sheetFormatPr defaultColWidth="14.44140625" defaultRowHeight="15" customHeight="1"/>
  <cols>
    <col min="1" max="1" width="8.6640625" customWidth="1"/>
    <col min="2" max="2" width="17.5546875" customWidth="1"/>
    <col min="3" max="5" width="8.6640625" customWidth="1"/>
    <col min="6" max="6" width="16.33203125" customWidth="1"/>
    <col min="7" max="7" width="29.88671875" customWidth="1"/>
    <col min="8" max="26" width="8.6640625" customWidth="1"/>
  </cols>
  <sheetData>
    <row r="1" spans="2:7" ht="14.25" customHeight="1"/>
    <row r="2" spans="2:7" ht="14.25" customHeight="1">
      <c r="B2" s="14" t="s">
        <v>39</v>
      </c>
    </row>
    <row r="3" spans="2:7" ht="14.25" customHeight="1">
      <c r="B3" s="15">
        <v>43882</v>
      </c>
      <c r="F3" s="16" t="s">
        <v>40</v>
      </c>
      <c r="G3" s="16" t="s">
        <v>41</v>
      </c>
    </row>
    <row r="4" spans="2:7" ht="14.25" customHeight="1">
      <c r="B4" s="15">
        <v>43918</v>
      </c>
      <c r="F4" s="17">
        <v>43831</v>
      </c>
      <c r="G4" s="17">
        <v>44503</v>
      </c>
    </row>
    <row r="5" spans="2:7" ht="14.25" customHeight="1">
      <c r="B5" s="15">
        <v>43954</v>
      </c>
    </row>
    <row r="6" spans="2:7" ht="14.25" customHeight="1">
      <c r="B6" s="15">
        <v>43990</v>
      </c>
      <c r="F6" s="22" t="s">
        <v>42</v>
      </c>
      <c r="G6" s="23"/>
    </row>
    <row r="7" spans="2:7" ht="14.25" customHeight="1">
      <c r="B7" s="15">
        <v>44026</v>
      </c>
      <c r="F7" s="24"/>
      <c r="G7" s="25"/>
    </row>
    <row r="8" spans="2:7" ht="14.25" customHeight="1">
      <c r="B8" s="15">
        <v>44062</v>
      </c>
      <c r="F8" s="26">
        <f>DATEDIF(F4,G4,"d")</f>
        <v>672</v>
      </c>
      <c r="G8" s="23"/>
    </row>
    <row r="9" spans="2:7" ht="14.25" customHeight="1">
      <c r="B9" s="15">
        <v>44098</v>
      </c>
      <c r="F9" s="27"/>
      <c r="G9" s="28"/>
    </row>
    <row r="10" spans="2:7" ht="14.25" customHeight="1">
      <c r="B10" s="15">
        <v>44134</v>
      </c>
      <c r="F10" s="24"/>
      <c r="G10" s="25"/>
    </row>
    <row r="11" spans="2:7" ht="14.25" customHeight="1">
      <c r="B11" s="15">
        <v>44170</v>
      </c>
    </row>
    <row r="12" spans="2:7" ht="14.25" customHeight="1">
      <c r="B12" s="15">
        <v>44206</v>
      </c>
    </row>
    <row r="13" spans="2:7" ht="14.25" customHeight="1">
      <c r="B13" s="15">
        <v>44242</v>
      </c>
    </row>
    <row r="14" spans="2:7" ht="14.25" customHeight="1"/>
    <row r="15" spans="2:7" ht="14.25" customHeight="1"/>
    <row r="16" spans="2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F6:G7"/>
    <mergeCell ref="F8:G10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D1000"/>
  <sheetViews>
    <sheetView showGridLines="0" workbookViewId="0">
      <selection activeCell="D3" sqref="D3:D13"/>
    </sheetView>
  </sheetViews>
  <sheetFormatPr defaultColWidth="14.44140625" defaultRowHeight="15" customHeight="1"/>
  <cols>
    <col min="1" max="2" width="8.6640625" customWidth="1"/>
    <col min="3" max="3" width="14.109375" customWidth="1"/>
    <col min="4" max="4" width="14.5546875" customWidth="1"/>
    <col min="5" max="26" width="8.6640625" customWidth="1"/>
  </cols>
  <sheetData>
    <row r="1" spans="3:4" ht="14.25" customHeight="1"/>
    <row r="2" spans="3:4" ht="14.25" customHeight="1">
      <c r="C2" s="14" t="s">
        <v>43</v>
      </c>
      <c r="D2" s="14" t="s">
        <v>44</v>
      </c>
    </row>
    <row r="3" spans="3:4" ht="14.25" customHeight="1">
      <c r="C3" s="15">
        <v>43882</v>
      </c>
      <c r="D3" s="4" t="str">
        <f>TEXT(C3,"mmmm")&amp;"-"&amp;YEAR(C3)</f>
        <v>February-2020</v>
      </c>
    </row>
    <row r="4" spans="3:4" ht="14.25" customHeight="1">
      <c r="C4" s="15">
        <v>43918</v>
      </c>
      <c r="D4" s="4" t="str">
        <f t="shared" ref="D4:D13" si="0">TEXT(C4,"mmmm")&amp;"-"&amp;YEAR(C4)</f>
        <v>March-2020</v>
      </c>
    </row>
    <row r="5" spans="3:4" ht="14.25" customHeight="1">
      <c r="C5" s="15">
        <v>43954</v>
      </c>
      <c r="D5" s="4" t="str">
        <f t="shared" si="0"/>
        <v>May-2020</v>
      </c>
    </row>
    <row r="6" spans="3:4" ht="14.25" customHeight="1">
      <c r="C6" s="15">
        <v>43990</v>
      </c>
      <c r="D6" s="4" t="str">
        <f t="shared" si="0"/>
        <v>June-2020</v>
      </c>
    </row>
    <row r="7" spans="3:4" ht="14.25" customHeight="1">
      <c r="C7" s="15">
        <v>44026</v>
      </c>
      <c r="D7" s="4" t="str">
        <f t="shared" si="0"/>
        <v>July-2020</v>
      </c>
    </row>
    <row r="8" spans="3:4" ht="14.25" customHeight="1">
      <c r="C8" s="15">
        <v>44062</v>
      </c>
      <c r="D8" s="4" t="str">
        <f t="shared" si="0"/>
        <v>August-2020</v>
      </c>
    </row>
    <row r="9" spans="3:4" ht="14.25" customHeight="1">
      <c r="C9" s="15">
        <v>44098</v>
      </c>
      <c r="D9" s="4" t="str">
        <f t="shared" si="0"/>
        <v>September-2020</v>
      </c>
    </row>
    <row r="10" spans="3:4" ht="14.25" customHeight="1">
      <c r="C10" s="15">
        <v>44134</v>
      </c>
      <c r="D10" s="4" t="str">
        <f t="shared" si="0"/>
        <v>October-2020</v>
      </c>
    </row>
    <row r="11" spans="3:4" ht="14.25" customHeight="1">
      <c r="C11" s="15">
        <v>44170</v>
      </c>
      <c r="D11" s="4" t="str">
        <f t="shared" si="0"/>
        <v>December-2020</v>
      </c>
    </row>
    <row r="12" spans="3:4" ht="14.25" customHeight="1">
      <c r="C12" s="15">
        <v>44206</v>
      </c>
      <c r="D12" s="4" t="str">
        <f t="shared" si="0"/>
        <v>January-2021</v>
      </c>
    </row>
    <row r="13" spans="3:4" ht="14.25" customHeight="1">
      <c r="C13" s="15">
        <v>44242</v>
      </c>
      <c r="D13" s="4" t="str">
        <f t="shared" si="0"/>
        <v>February-2021</v>
      </c>
    </row>
    <row r="14" spans="3:4" ht="14.25" customHeight="1"/>
    <row r="15" spans="3:4" ht="14.25" customHeight="1"/>
    <row r="16" spans="3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E1000"/>
  <sheetViews>
    <sheetView showGridLines="0" workbookViewId="0">
      <selection activeCell="E17" sqref="E17"/>
    </sheetView>
  </sheetViews>
  <sheetFormatPr defaultColWidth="14.44140625" defaultRowHeight="15" customHeight="1"/>
  <cols>
    <col min="1" max="1" width="8.6640625" customWidth="1"/>
    <col min="2" max="2" width="11.88671875" customWidth="1"/>
    <col min="3" max="3" width="15.88671875" customWidth="1"/>
    <col min="4" max="4" width="14.5546875" customWidth="1"/>
    <col min="5" max="5" width="15.88671875" customWidth="1"/>
    <col min="6" max="26" width="8.6640625" customWidth="1"/>
  </cols>
  <sheetData>
    <row r="1" spans="3:5" ht="14.25" customHeight="1"/>
    <row r="2" spans="3:5" ht="14.25" customHeight="1">
      <c r="C2" s="14" t="s">
        <v>43</v>
      </c>
      <c r="D2" s="14" t="s">
        <v>45</v>
      </c>
      <c r="E2" s="14" t="s">
        <v>46</v>
      </c>
    </row>
    <row r="3" spans="3:5" ht="14.25" customHeight="1">
      <c r="C3" s="15">
        <v>43882</v>
      </c>
      <c r="D3" s="20">
        <f>EOMONTH(C3,0)</f>
        <v>43890</v>
      </c>
      <c r="E3" s="20">
        <v>43890</v>
      </c>
    </row>
    <row r="4" spans="3:5" ht="14.25" customHeight="1">
      <c r="C4" s="15">
        <v>43918</v>
      </c>
      <c r="D4" s="20">
        <f t="shared" ref="D4:D13" si="0">EOMONTH(C4,0)</f>
        <v>43921</v>
      </c>
      <c r="E4" s="20">
        <v>43921</v>
      </c>
    </row>
    <row r="5" spans="3:5" ht="14.25" customHeight="1">
      <c r="C5" s="15">
        <v>43954</v>
      </c>
      <c r="D5" s="20">
        <f t="shared" si="0"/>
        <v>43982</v>
      </c>
      <c r="E5" s="20">
        <v>43982</v>
      </c>
    </row>
    <row r="6" spans="3:5" ht="14.25" customHeight="1">
      <c r="C6" s="15">
        <v>43990</v>
      </c>
      <c r="D6" s="20">
        <f t="shared" si="0"/>
        <v>44012</v>
      </c>
      <c r="E6" s="20">
        <v>44012</v>
      </c>
    </row>
    <row r="7" spans="3:5" ht="14.25" customHeight="1">
      <c r="C7" s="15">
        <v>44026</v>
      </c>
      <c r="D7" s="20">
        <f t="shared" si="0"/>
        <v>44043</v>
      </c>
      <c r="E7" s="20">
        <v>44043</v>
      </c>
    </row>
    <row r="8" spans="3:5" ht="14.25" customHeight="1">
      <c r="C8" s="15">
        <v>44062</v>
      </c>
      <c r="D8" s="20">
        <f t="shared" si="0"/>
        <v>44074</v>
      </c>
      <c r="E8" s="20">
        <v>44074</v>
      </c>
    </row>
    <row r="9" spans="3:5" ht="14.25" customHeight="1">
      <c r="C9" s="15">
        <v>44098</v>
      </c>
      <c r="D9" s="20">
        <f t="shared" si="0"/>
        <v>44104</v>
      </c>
      <c r="E9" s="20">
        <v>44104</v>
      </c>
    </row>
    <row r="10" spans="3:5" ht="14.25" customHeight="1">
      <c r="C10" s="15">
        <v>44134</v>
      </c>
      <c r="D10" s="20">
        <f t="shared" si="0"/>
        <v>44135</v>
      </c>
      <c r="E10" s="20">
        <v>44135</v>
      </c>
    </row>
    <row r="11" spans="3:5" ht="14.25" customHeight="1">
      <c r="C11" s="15">
        <v>44170</v>
      </c>
      <c r="D11" s="20">
        <f t="shared" si="0"/>
        <v>44196</v>
      </c>
      <c r="E11" s="20">
        <v>44196</v>
      </c>
    </row>
    <row r="12" spans="3:5" ht="14.25" customHeight="1">
      <c r="C12" s="15">
        <v>44206</v>
      </c>
      <c r="D12" s="20">
        <f t="shared" si="0"/>
        <v>44227</v>
      </c>
      <c r="E12" s="20">
        <v>44227</v>
      </c>
    </row>
    <row r="13" spans="3:5" ht="14.25" customHeight="1">
      <c r="C13" s="15">
        <v>44242</v>
      </c>
      <c r="D13" s="20">
        <f t="shared" si="0"/>
        <v>44255</v>
      </c>
      <c r="E13" s="20">
        <v>44255</v>
      </c>
    </row>
    <row r="14" spans="3:5" ht="14.25" customHeight="1"/>
    <row r="15" spans="3:5" ht="14.25" customHeight="1"/>
    <row r="16" spans="3:5" ht="14.25" customHeight="1"/>
    <row r="17" spans="2:3" ht="14.25" customHeight="1">
      <c r="B17" s="18" t="s">
        <v>47</v>
      </c>
      <c r="C17" s="21" t="s">
        <v>51</v>
      </c>
    </row>
    <row r="18" spans="2:3" ht="14.25" customHeight="1"/>
    <row r="19" spans="2:3" ht="14.25" customHeight="1"/>
    <row r="20" spans="2:3" ht="14.25" customHeight="1"/>
    <row r="21" spans="2:3" ht="14.25" customHeight="1"/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showGridLines="0" workbookViewId="0">
      <selection activeCell="D3" sqref="D3:D12"/>
    </sheetView>
  </sheetViews>
  <sheetFormatPr defaultColWidth="14.44140625" defaultRowHeight="15" customHeight="1"/>
  <cols>
    <col min="1" max="1" width="8.6640625" customWidth="1"/>
    <col min="2" max="2" width="8.109375" customWidth="1"/>
    <col min="3" max="3" width="17.33203125" customWidth="1"/>
    <col min="4" max="4" width="14.44140625" customWidth="1"/>
    <col min="5" max="26" width="8.6640625" customWidth="1"/>
  </cols>
  <sheetData>
    <row r="1" spans="2:4" ht="14.25" customHeight="1"/>
    <row r="2" spans="2:4" ht="14.25" customHeight="1">
      <c r="B2" s="7" t="s">
        <v>1</v>
      </c>
      <c r="C2" s="7" t="s">
        <v>18</v>
      </c>
      <c r="D2" s="8" t="s">
        <v>48</v>
      </c>
    </row>
    <row r="3" spans="2:4" ht="14.25" customHeight="1">
      <c r="B3" s="2" t="s">
        <v>6</v>
      </c>
      <c r="C3" s="9">
        <v>44593</v>
      </c>
      <c r="D3" s="5" t="str">
        <f>TEXT(C3,"dddd")</f>
        <v>Tuesday</v>
      </c>
    </row>
    <row r="4" spans="2:4" ht="14.25" customHeight="1">
      <c r="B4" s="2" t="s">
        <v>7</v>
      </c>
      <c r="C4" s="9">
        <v>44361</v>
      </c>
      <c r="D4" s="5" t="str">
        <f t="shared" ref="D4:D12" si="0">TEXT(C4,"dddd")</f>
        <v>Monday</v>
      </c>
    </row>
    <row r="5" spans="2:4" ht="14.25" customHeight="1">
      <c r="B5" s="2" t="s">
        <v>8</v>
      </c>
      <c r="C5" s="9">
        <v>43557</v>
      </c>
      <c r="D5" s="5" t="str">
        <f t="shared" si="0"/>
        <v>Tuesday</v>
      </c>
    </row>
    <row r="6" spans="2:4" ht="14.25" customHeight="1">
      <c r="B6" s="2" t="s">
        <v>9</v>
      </c>
      <c r="C6" s="9">
        <v>44062</v>
      </c>
      <c r="D6" s="5" t="str">
        <f t="shared" si="0"/>
        <v>Wednesday</v>
      </c>
    </row>
    <row r="7" spans="2:4" ht="14.25" customHeight="1">
      <c r="B7" s="2" t="s">
        <v>10</v>
      </c>
      <c r="C7" s="9">
        <v>44940</v>
      </c>
      <c r="D7" s="5" t="str">
        <f t="shared" si="0"/>
        <v>Saturday</v>
      </c>
    </row>
    <row r="8" spans="2:4" ht="14.25" customHeight="1">
      <c r="B8" s="2" t="s">
        <v>11</v>
      </c>
      <c r="C8" s="9">
        <v>43446</v>
      </c>
      <c r="D8" s="5" t="str">
        <f t="shared" si="0"/>
        <v>Wednesday</v>
      </c>
    </row>
    <row r="9" spans="2:4" ht="14.25" customHeight="1">
      <c r="B9" s="2" t="s">
        <v>12</v>
      </c>
      <c r="C9" s="9">
        <v>43025</v>
      </c>
      <c r="D9" s="5" t="str">
        <f t="shared" si="0"/>
        <v>Tuesday</v>
      </c>
    </row>
    <row r="10" spans="2:4" ht="14.25" customHeight="1">
      <c r="B10" s="2" t="s">
        <v>13</v>
      </c>
      <c r="C10" s="9">
        <v>43875</v>
      </c>
      <c r="D10" s="5" t="str">
        <f t="shared" si="0"/>
        <v>Friday</v>
      </c>
    </row>
    <row r="11" spans="2:4" ht="14.25" customHeight="1">
      <c r="B11" s="2" t="s">
        <v>14</v>
      </c>
      <c r="C11" s="9">
        <v>44616</v>
      </c>
      <c r="D11" s="5" t="str">
        <f t="shared" si="0"/>
        <v>Thursday</v>
      </c>
    </row>
    <row r="12" spans="2:4" ht="14.25" customHeight="1">
      <c r="B12" s="2" t="s">
        <v>15</v>
      </c>
      <c r="C12" s="9">
        <v>43489</v>
      </c>
      <c r="D12" s="5" t="str">
        <f t="shared" si="0"/>
        <v>Thursday</v>
      </c>
    </row>
    <row r="13" spans="2:4" ht="14.25" customHeight="1"/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1000"/>
  <sheetViews>
    <sheetView showGridLines="0" workbookViewId="0">
      <selection activeCell="E4" sqref="E4"/>
    </sheetView>
  </sheetViews>
  <sheetFormatPr defaultColWidth="14.44140625" defaultRowHeight="15" customHeight="1"/>
  <cols>
    <col min="1" max="1" width="8.6640625" customWidth="1"/>
    <col min="2" max="2" width="25.6640625" customWidth="1"/>
    <col min="3" max="3" width="16.6640625" customWidth="1"/>
    <col min="4" max="4" width="20.33203125" customWidth="1"/>
    <col min="5" max="5" width="9.33203125" customWidth="1"/>
    <col min="6" max="26" width="8.6640625" customWidth="1"/>
  </cols>
  <sheetData>
    <row r="1" spans="2:5" ht="14.25" customHeight="1"/>
    <row r="2" spans="2:5" ht="14.25" customHeight="1">
      <c r="B2" s="1" t="s">
        <v>23</v>
      </c>
      <c r="C2" s="1" t="s">
        <v>24</v>
      </c>
      <c r="D2" s="1" t="s">
        <v>49</v>
      </c>
      <c r="E2" s="1" t="s">
        <v>50</v>
      </c>
    </row>
    <row r="3" spans="2:5" ht="14.25" customHeight="1">
      <c r="B3" s="2" t="s">
        <v>26</v>
      </c>
      <c r="C3" s="12">
        <v>44604</v>
      </c>
      <c r="D3" s="6">
        <f ca="1">DATEDIF(C3,TODAY(),"D")</f>
        <v>1540</v>
      </c>
      <c r="E3" s="4" t="str">
        <f>"Q"&amp;ROUNDUP(MONTH(C3)/3,0)</f>
        <v>Q1</v>
      </c>
    </row>
    <row r="4" spans="2:5" ht="14.25" customHeight="1">
      <c r="B4" s="2" t="s">
        <v>27</v>
      </c>
      <c r="C4" s="12">
        <v>44593</v>
      </c>
      <c r="D4" s="6">
        <f t="shared" ref="D4:D13" ca="1" si="0">DATEDIF(C4,TODAY(),"D")</f>
        <v>1551</v>
      </c>
      <c r="E4" s="4" t="str">
        <f t="shared" ref="E4:E13" si="1">"Q"&amp;ROUNDUP(MONTH(C4)/3,0)</f>
        <v>Q1</v>
      </c>
    </row>
    <row r="5" spans="2:5" ht="14.25" customHeight="1">
      <c r="B5" s="2" t="s">
        <v>28</v>
      </c>
      <c r="C5" s="12">
        <v>44179</v>
      </c>
      <c r="D5" s="6">
        <f t="shared" ca="1" si="0"/>
        <v>1965</v>
      </c>
      <c r="E5" s="4" t="str">
        <f t="shared" si="1"/>
        <v>Q4</v>
      </c>
    </row>
    <row r="6" spans="2:5" ht="14.25" customHeight="1">
      <c r="B6" s="2" t="s">
        <v>29</v>
      </c>
      <c r="C6" s="12">
        <v>44242</v>
      </c>
      <c r="D6" s="6">
        <f t="shared" ca="1" si="0"/>
        <v>1902</v>
      </c>
      <c r="E6" s="4" t="str">
        <f t="shared" si="1"/>
        <v>Q1</v>
      </c>
    </row>
    <row r="7" spans="2:5" ht="14.25" customHeight="1">
      <c r="B7" s="2" t="s">
        <v>30</v>
      </c>
      <c r="C7" s="12">
        <v>44577</v>
      </c>
      <c r="D7" s="6">
        <f t="shared" ca="1" si="0"/>
        <v>1567</v>
      </c>
      <c r="E7" s="4" t="str">
        <f t="shared" si="1"/>
        <v>Q1</v>
      </c>
    </row>
    <row r="8" spans="2:5" ht="14.25" customHeight="1">
      <c r="B8" s="2" t="s">
        <v>31</v>
      </c>
      <c r="C8" s="12">
        <v>44637</v>
      </c>
      <c r="D8" s="6">
        <f t="shared" ca="1" si="0"/>
        <v>1507</v>
      </c>
      <c r="E8" s="4" t="str">
        <f t="shared" si="1"/>
        <v>Q1</v>
      </c>
    </row>
    <row r="9" spans="2:5" ht="14.25" customHeight="1">
      <c r="B9" s="2" t="s">
        <v>32</v>
      </c>
      <c r="C9" s="12">
        <v>44823</v>
      </c>
      <c r="D9" s="6">
        <f t="shared" ca="1" si="0"/>
        <v>1321</v>
      </c>
      <c r="E9" s="4" t="str">
        <f t="shared" si="1"/>
        <v>Q3</v>
      </c>
    </row>
    <row r="10" spans="2:5" ht="14.25" customHeight="1">
      <c r="B10" s="2" t="s">
        <v>33</v>
      </c>
      <c r="C10" s="12">
        <v>44825</v>
      </c>
      <c r="D10" s="6">
        <f t="shared" ca="1" si="0"/>
        <v>1319</v>
      </c>
      <c r="E10" s="4" t="str">
        <f t="shared" si="1"/>
        <v>Q3</v>
      </c>
    </row>
    <row r="11" spans="2:5" ht="14.25" customHeight="1">
      <c r="B11" s="2" t="s">
        <v>34</v>
      </c>
      <c r="C11" s="12">
        <v>44670</v>
      </c>
      <c r="D11" s="6">
        <f t="shared" ca="1" si="0"/>
        <v>1474</v>
      </c>
      <c r="E11" s="4" t="str">
        <f t="shared" si="1"/>
        <v>Q2</v>
      </c>
    </row>
    <row r="12" spans="2:5" ht="14.25" customHeight="1">
      <c r="B12" s="2" t="s">
        <v>35</v>
      </c>
      <c r="C12" s="12">
        <v>44916</v>
      </c>
      <c r="D12" s="6">
        <f t="shared" ca="1" si="0"/>
        <v>1228</v>
      </c>
      <c r="E12" s="4" t="str">
        <f t="shared" si="1"/>
        <v>Q4</v>
      </c>
    </row>
    <row r="13" spans="2:5" ht="14.25" customHeight="1">
      <c r="B13" s="2" t="s">
        <v>36</v>
      </c>
      <c r="C13" s="12">
        <v>44614</v>
      </c>
      <c r="D13" s="6">
        <f t="shared" ca="1" si="0"/>
        <v>1530</v>
      </c>
      <c r="E13" s="4" t="str">
        <f t="shared" si="1"/>
        <v>Q1</v>
      </c>
    </row>
    <row r="14" spans="2:5" ht="14.25" customHeight="1"/>
    <row r="15" spans="2:5" ht="14.25" customHeight="1"/>
    <row r="16" spans="2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Part 1</vt:lpstr>
      <vt:lpstr>Part 2</vt:lpstr>
      <vt:lpstr>Part 3</vt:lpstr>
      <vt:lpstr>Part 4</vt:lpstr>
      <vt:lpstr>Part 5</vt:lpstr>
      <vt:lpstr>Part 6</vt:lpstr>
      <vt:lpstr>Part 7</vt:lpstr>
      <vt:lpstr>Part 8</vt:lpstr>
      <vt:lpstr>Part 9</vt:lpstr>
      <vt:lpstr>Part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batham</dc:creator>
  <cp:lastModifiedBy>Saurav Singh</cp:lastModifiedBy>
  <dcterms:created xsi:type="dcterms:W3CDTF">2015-06-05T18:17:20Z</dcterms:created>
  <dcterms:modified xsi:type="dcterms:W3CDTF">2026-05-02T16:09:32Z</dcterms:modified>
</cp:coreProperties>
</file>
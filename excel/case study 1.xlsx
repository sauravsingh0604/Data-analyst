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aurav singh\Desktop\Excel\"/>
    </mc:Choice>
  </mc:AlternateContent>
  <xr:revisionPtr revIDLastSave="0" documentId="13_ncr:1_{05772113-CD9B-4761-8485-5B55714FA852}" xr6:coauthVersionLast="47" xr6:coauthVersionMax="47" xr10:uidLastSave="{00000000-0000-0000-0000-000000000000}"/>
  <bookViews>
    <workbookView xWindow="-108" yWindow="-108" windowWidth="23256" windowHeight="12456" activeTab="2" xr2:uid="{CA765357-9DD1-4520-9B91-BA329F0CCD92}"/>
  </bookViews>
  <sheets>
    <sheet name="Sheet2" sheetId="2" r:id="rId1"/>
    <sheet name="Sheet3" sheetId="3" r:id="rId2"/>
    <sheet name="Sheet4" sheetId="4" r:id="rId3"/>
    <sheet name="Sheet5" sheetId="5" r:id="rId4"/>
    <sheet name="Sheet6" sheetId="6" r:id="rId5"/>
    <sheet name="Sheet1" sheetId="1" r:id="rId6"/>
  </sheets>
  <definedNames>
    <definedName name="Slicer_Category">#N/A</definedName>
    <definedName name="Slicer_Region">#N/A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0" i="1" l="1"/>
  <c r="E10" i="1"/>
  <c r="B6" i="6"/>
  <c r="A6" i="6"/>
</calcChain>
</file>

<file path=xl/sharedStrings.xml><?xml version="1.0" encoding="utf-8"?>
<sst xmlns="http://schemas.openxmlformats.org/spreadsheetml/2006/main" count="58" uniqueCount="27">
  <si>
    <t>OrderID</t>
  </si>
  <si>
    <t>Product</t>
  </si>
  <si>
    <t>Category</t>
  </si>
  <si>
    <t>Region</t>
  </si>
  <si>
    <t>Sales</t>
  </si>
  <si>
    <t>Profit</t>
  </si>
  <si>
    <t>Quantity</t>
  </si>
  <si>
    <t>Laptop</t>
  </si>
  <si>
    <t>Electronics</t>
  </si>
  <si>
    <t>North</t>
  </si>
  <si>
    <t>Shirt</t>
  </si>
  <si>
    <t>Clothing</t>
  </si>
  <si>
    <t>South</t>
  </si>
  <si>
    <t>Mobile</t>
  </si>
  <si>
    <t>East</t>
  </si>
  <si>
    <t>Sofa</t>
  </si>
  <si>
    <t>Furniture</t>
  </si>
  <si>
    <t>West</t>
  </si>
  <si>
    <t>Shoes</t>
  </si>
  <si>
    <t>Footwear</t>
  </si>
  <si>
    <t>TV</t>
  </si>
  <si>
    <t>Table</t>
  </si>
  <si>
    <t>Jacket</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</si>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</sst>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Sheet2!$A$2:$A$6</c:f>
              <c:strCache>
                <c:ptCount val="4"/>
                <c:pt idx="0">
                  <c:v>Clothing</c:v>
                </c:pt>
                <c:pt idx="1">
                  <c:v>Electronics</c:v>
                </c:pt>
                <c:pt idx="2">
                  <c:v>Footwear</c:v>
                </c:pt>
                <c:pt idx="3">
                  <c:v>Furniture</c:v>
                </c:pt>
              </c:strCache>
            </c:strRef>
          </c:cat>
          <c:val>
            <c:numRef>
              <c:f>Sheet2!$B$2:$B$6</c:f>
              <c:numCache>
                <c:formatCode>General</c:formatCode>
                <c:ptCount val="4"/>
                <c:pt idx="0">
                  <c:v>5000</c:v>
                </c:pt>
                <c:pt idx="1">
                  <c:v>105000</c:v>
                </c:pt>
                <c:pt idx="2">
                  <c:v>4000</c:v>
                </c:pt>
                <c:pt idx="3">
                  <c:v>25000</c:v>
                </c:pt>
              </c:numCache>
            </c:numRef>
          </c:val>
          <c:extLst>
            <c:ext xmlns:c16="http://schemas.microsoft.com/office/drawing/2014/chart" uri="{C3380CC4-5D6E-409C-BE32-E72D297353CC}">
              <c16:uniqueId val="{00000000-A2D9-44BA-A3AA-CB77B588C7D1}"/>
            </c:ext>
          </c:extLst>
        </c:ser>
        <c:dLbls>
          <c:showLegendKey val="0"/>
          <c:showVal val="0"/>
          <c:showCatName val="0"/>
          <c:showSerName val="0"/>
          <c:showPercent val="0"/>
          <c:showBubbleSize val="0"/>
        </c:dLbls>
        <c:gapWidth val="219"/>
        <c:overlap val="-27"/>
        <c:axId val="1301061904"/>
        <c:axId val="1301068624"/>
      </c:barChart>
      <c:catAx>
        <c:axId val="130106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68624"/>
        <c:crosses val="autoZero"/>
        <c:auto val="1"/>
        <c:lblAlgn val="ctr"/>
        <c:lblOffset val="100"/>
        <c:noMultiLvlLbl val="0"/>
      </c:catAx>
      <c:valAx>
        <c:axId val="130106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6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Sheet3!$A$2:$A$6</c:f>
              <c:strCache>
                <c:ptCount val="4"/>
                <c:pt idx="0">
                  <c:v>East</c:v>
                </c:pt>
                <c:pt idx="1">
                  <c:v>North</c:v>
                </c:pt>
                <c:pt idx="2">
                  <c:v>South</c:v>
                </c:pt>
                <c:pt idx="3">
                  <c:v>West</c:v>
                </c:pt>
              </c:strCache>
            </c:strRef>
          </c:cat>
          <c:val>
            <c:numRef>
              <c:f>Sheet3!$B$2:$B$6</c:f>
              <c:numCache>
                <c:formatCode>General</c:formatCode>
                <c:ptCount val="4"/>
                <c:pt idx="0">
                  <c:v>7500</c:v>
                </c:pt>
                <c:pt idx="1">
                  <c:v>9000</c:v>
                </c:pt>
                <c:pt idx="2">
                  <c:v>4500</c:v>
                </c:pt>
                <c:pt idx="3">
                  <c:v>2800</c:v>
                </c:pt>
              </c:numCache>
            </c:numRef>
          </c:val>
          <c:extLst>
            <c:ext xmlns:c16="http://schemas.microsoft.com/office/drawing/2014/chart" uri="{C3380CC4-5D6E-409C-BE32-E72D297353CC}">
              <c16:uniqueId val="{00000000-73B6-4F45-924C-37075E2A17A8}"/>
            </c:ext>
          </c:extLst>
        </c:ser>
        <c:dLbls>
          <c:showLegendKey val="0"/>
          <c:showVal val="0"/>
          <c:showCatName val="0"/>
          <c:showSerName val="0"/>
          <c:showPercent val="0"/>
          <c:showBubbleSize val="0"/>
        </c:dLbls>
        <c:gapWidth val="219"/>
        <c:overlap val="-27"/>
        <c:axId val="1301064784"/>
        <c:axId val="1301068144"/>
      </c:barChart>
      <c:catAx>
        <c:axId val="13010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68144"/>
        <c:crosses val="autoZero"/>
        <c:auto val="1"/>
        <c:lblAlgn val="ctr"/>
        <c:lblOffset val="100"/>
        <c:noMultiLvlLbl val="0"/>
      </c:catAx>
      <c:valAx>
        <c:axId val="13010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Sheet2!$A$2:$A$6</c:f>
              <c:strCache>
                <c:ptCount val="4"/>
                <c:pt idx="0">
                  <c:v>Clothing</c:v>
                </c:pt>
                <c:pt idx="1">
                  <c:v>Electronics</c:v>
                </c:pt>
                <c:pt idx="2">
                  <c:v>Footwear</c:v>
                </c:pt>
                <c:pt idx="3">
                  <c:v>Furniture</c:v>
                </c:pt>
              </c:strCache>
            </c:strRef>
          </c:cat>
          <c:val>
            <c:numRef>
              <c:f>Sheet2!$B$2:$B$6</c:f>
              <c:numCache>
                <c:formatCode>General</c:formatCode>
                <c:ptCount val="4"/>
                <c:pt idx="0">
                  <c:v>5000</c:v>
                </c:pt>
                <c:pt idx="1">
                  <c:v>105000</c:v>
                </c:pt>
                <c:pt idx="2">
                  <c:v>4000</c:v>
                </c:pt>
                <c:pt idx="3">
                  <c:v>25000</c:v>
                </c:pt>
              </c:numCache>
            </c:numRef>
          </c:val>
          <c:extLst>
            <c:ext xmlns:c16="http://schemas.microsoft.com/office/drawing/2014/chart" uri="{C3380CC4-5D6E-409C-BE32-E72D297353CC}">
              <c16:uniqueId val="{00000002-471F-4AD9-A611-060E2DD587FD}"/>
            </c:ext>
          </c:extLst>
        </c:ser>
        <c:dLbls>
          <c:showLegendKey val="0"/>
          <c:showVal val="0"/>
          <c:showCatName val="0"/>
          <c:showSerName val="0"/>
          <c:showPercent val="0"/>
          <c:showBubbleSize val="0"/>
        </c:dLbls>
        <c:gapWidth val="219"/>
        <c:overlap val="-27"/>
        <c:axId val="1301064784"/>
        <c:axId val="1301068144"/>
      </c:barChart>
      <c:catAx>
        <c:axId val="13010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68144"/>
        <c:crosses val="autoZero"/>
        <c:auto val="1"/>
        <c:lblAlgn val="ctr"/>
        <c:lblOffset val="100"/>
        <c:noMultiLvlLbl val="0"/>
      </c:catAx>
      <c:valAx>
        <c:axId val="13010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647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Sheet3!$A$2:$A$6</c:f>
              <c:strCache>
                <c:ptCount val="4"/>
                <c:pt idx="0">
                  <c:v>East</c:v>
                </c:pt>
                <c:pt idx="1">
                  <c:v>North</c:v>
                </c:pt>
                <c:pt idx="2">
                  <c:v>South</c:v>
                </c:pt>
                <c:pt idx="3">
                  <c:v>West</c:v>
                </c:pt>
              </c:strCache>
            </c:strRef>
          </c:cat>
          <c:val>
            <c:numRef>
              <c:f>Sheet3!$B$2:$B$6</c:f>
              <c:numCache>
                <c:formatCode>General</c:formatCode>
                <c:ptCount val="4"/>
                <c:pt idx="0">
                  <c:v>7500</c:v>
                </c:pt>
                <c:pt idx="1">
                  <c:v>9000</c:v>
                </c:pt>
                <c:pt idx="2">
                  <c:v>4500</c:v>
                </c:pt>
                <c:pt idx="3">
                  <c:v>2800</c:v>
                </c:pt>
              </c:numCache>
            </c:numRef>
          </c:val>
          <c:extLst>
            <c:ext xmlns:c16="http://schemas.microsoft.com/office/drawing/2014/chart" uri="{C3380CC4-5D6E-409C-BE32-E72D297353CC}">
              <c16:uniqueId val="{00000000-19EB-4F99-B5D7-293DAFAC3025}"/>
            </c:ext>
          </c:extLst>
        </c:ser>
        <c:dLbls>
          <c:showLegendKey val="0"/>
          <c:showVal val="0"/>
          <c:showCatName val="0"/>
          <c:showSerName val="0"/>
          <c:showPercent val="0"/>
          <c:showBubbleSize val="0"/>
        </c:dLbls>
        <c:gapWidth val="219"/>
        <c:overlap val="-27"/>
        <c:axId val="1301064784"/>
        <c:axId val="1301068144"/>
      </c:barChart>
      <c:catAx>
        <c:axId val="13010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68144"/>
        <c:crosses val="autoZero"/>
        <c:auto val="1"/>
        <c:lblAlgn val="ctr"/>
        <c:lblOffset val="100"/>
        <c:noMultiLvlLbl val="0"/>
      </c:catAx>
      <c:valAx>
        <c:axId val="130106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57DF4AA-F3D1-4651-780A-5BA6978C4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875B53B-7800-44E7-35F6-FA804480A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198120</xdr:colOff>
      <xdr:row>12</xdr:row>
      <xdr:rowOff>53340</xdr:rowOff>
    </xdr:from>
    <xdr:to>
      <xdr:col>6</xdr:col>
      <xdr:colOff>464820</xdr:colOff>
      <xdr:row>27</xdr:row>
      <xdr:rowOff>53340</xdr:rowOff>
    </xdr:to>
    <xdr:graphicFrame macro="">
      <xdr:nvGraphicFramePr>
        <xdr:cNvPr id="3" name="Chart 2">
          <a:extLst>
            <a:ext uri="{FF2B5EF4-FFF2-40B4-BE49-F238E27FC236}">
              <a16:creationId xmlns:a16="http://schemas.microsoft.com/office/drawing/2014/main" id="{54607EBA-39E6-4876-AB57-5A51BF302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289560</xdr:colOff>
      <xdr:row>12</xdr:row>
      <xdr:rowOff>53340</xdr:rowOff>
    </xdr:from>
    <xdr:to>
      <xdr:col>14</xdr:col>
      <xdr:colOff>594360</xdr:colOff>
      <xdr:row>27</xdr:row>
      <xdr:rowOff>53340</xdr:rowOff>
    </xdr:to>
    <xdr:graphicFrame macro="">
      <xdr:nvGraphicFramePr>
        <xdr:cNvPr id="4" name="Chart 3">
          <a:extLst>
            <a:ext uri="{FF2B5EF4-FFF2-40B4-BE49-F238E27FC236}">
              <a16:creationId xmlns:a16="http://schemas.microsoft.com/office/drawing/2014/main" id="{8F13EA49-21F2-4F94-B945-9345234D4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541020</xdr:colOff>
      <xdr:row>2</xdr:row>
      <xdr:rowOff>60960</xdr:rowOff>
    </xdr:from>
    <xdr:to>
      <xdr:col>10</xdr:col>
      <xdr:colOff>190500</xdr:colOff>
      <xdr:row>4</xdr:row>
      <xdr:rowOff>99060</xdr:rowOff>
    </xdr:to>
    <xdr:sp macro="" textlink="Sheet6!A6">
      <xdr:nvSpPr>
        <xdr:cNvPr id="8" name="Rectangle 7">
          <a:extLst>
            <a:ext uri="{FF2B5EF4-FFF2-40B4-BE49-F238E27FC236}">
              <a16:creationId xmlns:a16="http://schemas.microsoft.com/office/drawing/2014/main" id="{5E2E0CDF-C3C2-DB6B-BB31-37F470100FF0}"/>
            </a:ext>
          </a:extLst>
        </xdr:cNvPr>
        <xdr:cNvSpPr/>
      </xdr:nvSpPr>
      <xdr:spPr>
        <a:xfrm>
          <a:off x="4846320" y="426720"/>
          <a:ext cx="2087880" cy="40386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0909F9A-4BAA-4F67-B3B4-E049B680D1FD}" type="TxLink">
            <a:rPr lang="en-US" sz="1100" b="0" i="0" u="none" strike="noStrike">
              <a:solidFill>
                <a:srgbClr val="000000"/>
              </a:solidFill>
              <a:latin typeface="Calibri"/>
              <a:ea typeface="Calibri"/>
              <a:cs typeface="Calibri"/>
            </a:rPr>
            <a:t>Total profit: 23800</a:t>
          </a:fld>
          <a:endParaRPr lang="en-US" sz="1100"/>
        </a:p>
      </xdr:txBody>
    </xdr:sp>
    <xdr:clientData/>
  </xdr:twoCellAnchor>
  <xdr:twoCellAnchor>
    <xdr:from>
      <xdr:col>9</xdr:col>
      <xdr:colOff>281940</xdr:colOff>
      <xdr:row>2</xdr:row>
      <xdr:rowOff>45720</xdr:rowOff>
    </xdr:from>
    <xdr:to>
      <xdr:col>12</xdr:col>
      <xdr:colOff>144780</xdr:colOff>
      <xdr:row>4</xdr:row>
      <xdr:rowOff>76200</xdr:rowOff>
    </xdr:to>
    <xdr:sp macro="" textlink="Sheet6!B6">
      <xdr:nvSpPr>
        <xdr:cNvPr id="9" name="Rectangle 8">
          <a:extLst>
            <a:ext uri="{FF2B5EF4-FFF2-40B4-BE49-F238E27FC236}">
              <a16:creationId xmlns:a16="http://schemas.microsoft.com/office/drawing/2014/main" id="{7C989437-7A04-19EC-5BB6-E5E95134D98D}"/>
            </a:ext>
          </a:extLst>
        </xdr:cNvPr>
        <xdr:cNvSpPr/>
      </xdr:nvSpPr>
      <xdr:spPr>
        <a:xfrm>
          <a:off x="6416040" y="411480"/>
          <a:ext cx="1691640" cy="39624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0A8E872-DF5F-4C99-B7B0-D2BF998CD2AF}" type="TxLink">
            <a:rPr lang="en-US" sz="1100" b="0" i="0" u="none" strike="noStrike">
              <a:solidFill>
                <a:srgbClr val="000000"/>
              </a:solidFill>
              <a:latin typeface="Calibri"/>
              <a:ea typeface="Calibri"/>
              <a:cs typeface="Calibri"/>
            </a:rPr>
            <a:t>Total Sales:139000</a:t>
          </a:fld>
          <a:endParaRPr lang="en-IN" sz="1100"/>
        </a:p>
      </xdr:txBody>
    </xdr:sp>
    <xdr:clientData/>
  </xdr:twoCellAnchor>
  <xdr:twoCellAnchor editAs="oneCell">
    <xdr:from>
      <xdr:col>1</xdr:col>
      <xdr:colOff>640080</xdr:colOff>
      <xdr:row>0</xdr:row>
      <xdr:rowOff>45721</xdr:rowOff>
    </xdr:from>
    <xdr:to>
      <xdr:col>3</xdr:col>
      <xdr:colOff>335280</xdr:colOff>
      <xdr:row>11</xdr:row>
      <xdr:rowOff>144780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7F927007-525B-41FB-BBB2-F6962AF8EA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01140" y="45721"/>
              <a:ext cx="1310640" cy="2110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0</xdr:row>
      <xdr:rowOff>53341</xdr:rowOff>
    </xdr:from>
    <xdr:to>
      <xdr:col>1</xdr:col>
      <xdr:colOff>594360</xdr:colOff>
      <xdr:row>11</xdr:row>
      <xdr:rowOff>175260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8FEB7E02-C7FB-3CA5-9666-B8C0D5680C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53341"/>
              <a:ext cx="1417320" cy="2133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singh" refreshedDate="46109.776379166666" createdVersion="8" refreshedVersion="8" minRefreshableVersion="3" recordCount="8" xr:uid="{984E70D3-4A04-4393-AFE8-77692339440B}">
  <cacheSource type="worksheet">
    <worksheetSource ref="A1:G9" sheet="Sheet1"/>
  </cacheSource>
  <cacheFields count="7">
    <cacheField name="OrderID" numFmtId="0">
      <sharedItems containsSemiMixedTypes="0" containsString="0" containsNumber="1" containsInteger="1" minValue="101" maxValue="108"/>
    </cacheField>
    <cacheField name="Product" numFmtId="0">
      <sharedItems count="8">
        <s v="Laptop"/>
        <s v="Shirt"/>
        <s v="Mobile"/>
        <s v="Sofa"/>
        <s v="Shoes"/>
        <s v="TV"/>
        <s v="Table"/>
        <s v="Jacket"/>
      </sharedItems>
    </cacheField>
    <cacheField name="Category" numFmtId="0">
      <sharedItems count="4">
        <s v="Electronics"/>
        <s v="Clothing"/>
        <s v="Furniture"/>
        <s v="Footwear"/>
      </sharedItems>
    </cacheField>
    <cacheField name="Region" numFmtId="0">
      <sharedItems count="4">
        <s v="North"/>
        <s v="South"/>
        <s v="East"/>
        <s v="West"/>
      </sharedItems>
    </cacheField>
    <cacheField name="Sales" numFmtId="0">
      <sharedItems containsSemiMixedTypes="0" containsString="0" containsNumber="1" containsInteger="1" minValue="2000" maxValue="50000"/>
    </cacheField>
    <cacheField name="Profit" numFmtId="0">
      <sharedItems containsSemiMixedTypes="0" containsString="0" containsNumber="1" containsInteger="1" minValue="500" maxValue="8000"/>
    </cacheField>
    <cacheField name="Quantity"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661467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1"/>
    <x v="0"/>
    <x v="0"/>
    <x v="0"/>
    <n v="50000"/>
    <n v="8000"/>
    <n v="2"/>
  </r>
  <r>
    <n v="102"/>
    <x v="1"/>
    <x v="1"/>
    <x v="1"/>
    <n v="2000"/>
    <n v="500"/>
    <n v="5"/>
  </r>
  <r>
    <n v="103"/>
    <x v="2"/>
    <x v="0"/>
    <x v="2"/>
    <n v="30000"/>
    <n v="6000"/>
    <n v="3"/>
  </r>
  <r>
    <n v="104"/>
    <x v="3"/>
    <x v="2"/>
    <x v="3"/>
    <n v="15000"/>
    <n v="2000"/>
    <n v="1"/>
  </r>
  <r>
    <n v="105"/>
    <x v="4"/>
    <x v="3"/>
    <x v="0"/>
    <n v="4000"/>
    <n v="1000"/>
    <n v="4"/>
  </r>
  <r>
    <n v="106"/>
    <x v="5"/>
    <x v="0"/>
    <x v="1"/>
    <n v="25000"/>
    <n v="4000"/>
    <n v="2"/>
  </r>
  <r>
    <n v="107"/>
    <x v="6"/>
    <x v="2"/>
    <x v="2"/>
    <n v="10000"/>
    <n v="1500"/>
    <n v="2"/>
  </r>
  <r>
    <n v="108"/>
    <x v="7"/>
    <x v="1"/>
    <x v="3"/>
    <n v="3000"/>
    <n v="80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5C1F38-9132-4AD4-804C-A6D02541FF1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7">
    <pivotField showAll="0"/>
    <pivotField showAll="0"/>
    <pivotField axis="axisRow" showAll="0">
      <items count="5">
        <item x="1"/>
        <item x="0"/>
        <item x="3"/>
        <item x="2"/>
        <item t="default"/>
      </items>
    </pivotField>
    <pivotField showAll="0">
      <items count="5">
        <item x="2"/>
        <item x="0"/>
        <item x="1"/>
        <item x="3"/>
        <item t="default"/>
      </items>
    </pivotField>
    <pivotField dataField="1" showAll="0"/>
    <pivotField showAll="0"/>
    <pivotField showAll="0"/>
  </pivotFields>
  <rowFields count="1">
    <field x="2"/>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5839D-2937-4030-B91A-E9BA2B36D96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7">
    <pivotField showAll="0"/>
    <pivotField showAll="0"/>
    <pivotField showAll="0">
      <items count="5">
        <item x="1"/>
        <item x="0"/>
        <item x="3"/>
        <item x="2"/>
        <item t="default"/>
      </items>
    </pivotField>
    <pivotField axis="axisRow" showAll="0">
      <items count="5">
        <item x="2"/>
        <item x="0"/>
        <item x="1"/>
        <item x="3"/>
        <item t="default"/>
      </items>
    </pivotField>
    <pivotField showAll="0"/>
    <pivotField dataField="1" showAll="0"/>
    <pivotField showAll="0"/>
  </pivotFields>
  <rowFields count="1">
    <field x="3"/>
  </rowFields>
  <rowItems count="5">
    <i>
      <x/>
    </i>
    <i>
      <x v="1"/>
    </i>
    <i>
      <x v="2"/>
    </i>
    <i>
      <x v="3"/>
    </i>
    <i t="grand">
      <x/>
    </i>
  </rowItems>
  <colItems count="1">
    <i/>
  </colItems>
  <dataFields count="1">
    <dataField name="Sum of Profi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E2D625-E7A0-4FE9-B351-57D840DCD34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7">
    <pivotField showAll="0"/>
    <pivotField axis="axisRow" showAll="0" sortType="descending">
      <items count="9">
        <item x="7"/>
        <item x="0"/>
        <item x="2"/>
        <item x="1"/>
        <item x="4"/>
        <item x="3"/>
        <item x="6"/>
        <item x="5"/>
        <item t="default"/>
      </items>
      <autoSortScope>
        <pivotArea dataOnly="0" outline="0" fieldPosition="0">
          <references count="1">
            <reference field="4294967294" count="1" selected="0">
              <x v="0"/>
            </reference>
          </references>
        </pivotArea>
      </autoSortScope>
    </pivotField>
    <pivotField showAll="0">
      <items count="5">
        <item h="1" x="1"/>
        <item h="1" x="0"/>
        <item h="1" x="3"/>
        <item x="2"/>
        <item t="default"/>
      </items>
    </pivotField>
    <pivotField showAll="0">
      <items count="5">
        <item x="2"/>
        <item x="0"/>
        <item x="1"/>
        <item x="3"/>
        <item t="default"/>
      </items>
    </pivotField>
    <pivotField dataField="1" showAll="0"/>
    <pivotField showAll="0"/>
    <pivotField showAll="0"/>
  </pivotFields>
  <rowFields count="1">
    <field x="1"/>
  </rowFields>
  <rowItems count="9">
    <i>
      <x v="1"/>
    </i>
    <i>
      <x v="2"/>
    </i>
    <i>
      <x v="7"/>
    </i>
    <i>
      <x v="5"/>
    </i>
    <i>
      <x v="6"/>
    </i>
    <i>
      <x v="4"/>
    </i>
    <i>
      <x/>
    </i>
    <i>
      <x v="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B336E-55D7-496C-8BD1-870BC4F0512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7">
    <pivotField showAll="0"/>
    <pivotField showAll="0"/>
    <pivotField showAll="0">
      <items count="5">
        <item x="1"/>
        <item x="0"/>
        <item x="3"/>
        <item x="2"/>
        <item t="default"/>
      </items>
    </pivotField>
    <pivotField showAll="0">
      <items count="5">
        <item x="2"/>
        <item x="0"/>
        <item x="1"/>
        <item x="3"/>
        <item t="default"/>
      </items>
    </pivotField>
    <pivotField dataField="1" showAll="0"/>
    <pivotField dataField="1" showAll="0"/>
    <pivotField showAll="0"/>
  </pivotFields>
  <rowItems count="1">
    <i/>
  </rowItems>
  <colFields count="1">
    <field x="-2"/>
  </colFields>
  <colItems count="2">
    <i>
      <x/>
    </i>
    <i i="1">
      <x v="1"/>
    </i>
  </colItems>
  <dataFields count="2">
    <dataField name="Sum of Profit" fld="5" baseField="0" baseItem="0"/>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4A3D11-4734-4EF1-92CC-711CA8E0E3AC}" sourceName="Category">
  <pivotTables>
    <pivotTable tabId="2" name="PivotTable1"/>
    <pivotTable tabId="3" name="PivotTable2"/>
    <pivotTable tabId="6" name="PivotTable5"/>
  </pivotTables>
  <data>
    <tabular pivotCacheId="66146729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7094A6-03A6-4DF7-BDFE-5E303061823E}" sourceName="Region">
  <pivotTables>
    <pivotTable tabId="2" name="PivotTable1"/>
    <pivotTable tabId="3" name="PivotTable2"/>
    <pivotTable tabId="6" name="PivotTable5"/>
  </pivotTables>
  <data>
    <tabular pivotCacheId="66146729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2771E36-16E7-4A37-B7CB-D66F32AE9A68}" cache="Slicer_Category" caption="Category" rowHeight="234950"/>
  <slicer name="Region" xr10:uid="{FEB67B7B-A96B-4C48-9285-084C0F09466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6B1D4-59CB-45B7-A9C1-EBDD8A9EDF4A}">
  <dimension ref="A1:B6"/>
  <sheetViews>
    <sheetView workbookViewId="0">
      <selection activeCell="E20" sqref="E20"/>
    </sheetView>
  </sheetViews>
  <sheetFormatPr defaultRowHeight="14.4" x14ac:dyDescent="0.3"/>
  <cols>
    <col min="1" max="1" width="12.5546875" bestFit="1" customWidth="1"/>
    <col min="2" max="2" width="11.6640625" bestFit="1" customWidth="1"/>
  </cols>
  <sheetData>
    <row r="1" spans="1:2" x14ac:dyDescent="0.3">
      <c r="A1" s="3" t="s">
        <v>23</v>
      </c>
      <c r="B1" t="s">
        <v>25</v>
      </c>
    </row>
    <row r="2" spans="1:2" x14ac:dyDescent="0.3">
      <c r="A2" s="4" t="s">
        <v>11</v>
      </c>
      <c r="B2" s="5">
        <v>5000</v>
      </c>
    </row>
    <row r="3" spans="1:2" x14ac:dyDescent="0.3">
      <c r="A3" s="4" t="s">
        <v>8</v>
      </c>
      <c r="B3" s="5">
        <v>105000</v>
      </c>
    </row>
    <row r="4" spans="1:2" x14ac:dyDescent="0.3">
      <c r="A4" s="4" t="s">
        <v>19</v>
      </c>
      <c r="B4" s="5">
        <v>4000</v>
      </c>
    </row>
    <row r="5" spans="1:2" x14ac:dyDescent="0.3">
      <c r="A5" s="4" t="s">
        <v>16</v>
      </c>
      <c r="B5" s="5">
        <v>25000</v>
      </c>
    </row>
    <row r="6" spans="1:2" x14ac:dyDescent="0.3">
      <c r="A6" s="4" t="s">
        <v>24</v>
      </c>
      <c r="B6" s="5">
        <v>139000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CA88-8E81-40E5-86B0-63DF6522F43A}">
  <dimension ref="A1:B6"/>
  <sheetViews>
    <sheetView workbookViewId="0"/>
  </sheetViews>
  <sheetFormatPr defaultRowHeight="14.4" x14ac:dyDescent="0.3"/>
  <cols>
    <col min="1" max="1" width="12.5546875" bestFit="1" customWidth="1"/>
    <col min="2" max="2" width="12.109375" bestFit="1" customWidth="1"/>
  </cols>
  <sheetData>
    <row r="1" spans="1:2" x14ac:dyDescent="0.3">
      <c r="A1" s="3" t="s">
        <v>23</v>
      </c>
      <c r="B1" t="s">
        <v>26</v>
      </c>
    </row>
    <row r="2" spans="1:2" x14ac:dyDescent="0.3">
      <c r="A2" s="4" t="s">
        <v>14</v>
      </c>
      <c r="B2" s="5">
        <v>7500</v>
      </c>
    </row>
    <row r="3" spans="1:2" x14ac:dyDescent="0.3">
      <c r="A3" s="4" t="s">
        <v>9</v>
      </c>
      <c r="B3" s="5">
        <v>9000</v>
      </c>
    </row>
    <row r="4" spans="1:2" x14ac:dyDescent="0.3">
      <c r="A4" s="4" t="s">
        <v>12</v>
      </c>
      <c r="B4" s="5">
        <v>4500</v>
      </c>
    </row>
    <row r="5" spans="1:2" x14ac:dyDescent="0.3">
      <c r="A5" s="4" t="s">
        <v>17</v>
      </c>
      <c r="B5" s="5">
        <v>2800</v>
      </c>
    </row>
    <row r="6" spans="1:2" x14ac:dyDescent="0.3">
      <c r="A6" s="4" t="s">
        <v>24</v>
      </c>
      <c r="B6" s="5">
        <v>23800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42A3-715C-4C5F-A39C-29413B1FE2D2}">
  <dimension ref="A1:Z28"/>
  <sheetViews>
    <sheetView tabSelected="1" workbookViewId="0">
      <selection sqref="A1:Z28"/>
    </sheetView>
  </sheetViews>
  <sheetFormatPr defaultRowHeight="14.4" x14ac:dyDescent="0.3"/>
  <cols>
    <col min="1" max="1" width="12.5546875" bestFit="1" customWidth="1"/>
    <col min="2" max="2" width="14.6640625" bestFit="1" customWidth="1"/>
  </cols>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sheetData>
  <mergeCells count="1">
    <mergeCell ref="A1:Z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31719-869B-4213-B12F-DF28F9763DCA}">
  <dimension ref="A3:B12"/>
  <sheetViews>
    <sheetView workbookViewId="0">
      <selection activeCell="N5" sqref="N5"/>
    </sheetView>
  </sheetViews>
  <sheetFormatPr defaultRowHeight="14.4" x14ac:dyDescent="0.3"/>
  <cols>
    <col min="1" max="1" width="12.5546875" bestFit="1" customWidth="1"/>
    <col min="2" max="2" width="11.6640625" bestFit="1" customWidth="1"/>
  </cols>
  <sheetData>
    <row r="3" spans="1:2" x14ac:dyDescent="0.3">
      <c r="A3" s="3" t="s">
        <v>23</v>
      </c>
      <c r="B3" t="s">
        <v>25</v>
      </c>
    </row>
    <row r="4" spans="1:2" x14ac:dyDescent="0.3">
      <c r="A4" s="4" t="s">
        <v>7</v>
      </c>
      <c r="B4" s="5">
        <v>50000</v>
      </c>
    </row>
    <row r="5" spans="1:2" x14ac:dyDescent="0.3">
      <c r="A5" s="4" t="s">
        <v>13</v>
      </c>
      <c r="B5" s="5">
        <v>30000</v>
      </c>
    </row>
    <row r="6" spans="1:2" x14ac:dyDescent="0.3">
      <c r="A6" s="4" t="s">
        <v>20</v>
      </c>
      <c r="B6" s="5">
        <v>25000</v>
      </c>
    </row>
    <row r="7" spans="1:2" x14ac:dyDescent="0.3">
      <c r="A7" s="4" t="s">
        <v>15</v>
      </c>
      <c r="B7" s="5">
        <v>15000</v>
      </c>
    </row>
    <row r="8" spans="1:2" x14ac:dyDescent="0.3">
      <c r="A8" s="4" t="s">
        <v>21</v>
      </c>
      <c r="B8" s="5">
        <v>10000</v>
      </c>
    </row>
    <row r="9" spans="1:2" x14ac:dyDescent="0.3">
      <c r="A9" s="4" t="s">
        <v>18</v>
      </c>
      <c r="B9" s="5">
        <v>4000</v>
      </c>
    </row>
    <row r="10" spans="1:2" x14ac:dyDescent="0.3">
      <c r="A10" s="4" t="s">
        <v>22</v>
      </c>
      <c r="B10" s="5">
        <v>3000</v>
      </c>
    </row>
    <row r="11" spans="1:2" x14ac:dyDescent="0.3">
      <c r="A11" s="4" t="s">
        <v>10</v>
      </c>
      <c r="B11" s="5">
        <v>2000</v>
      </c>
    </row>
    <row r="12" spans="1:2" x14ac:dyDescent="0.3">
      <c r="A12" s="4" t="s">
        <v>24</v>
      </c>
      <c r="B12" s="5">
        <v>139000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7C206-4F55-4E62-84E2-B56D21B7C57D}">
  <dimension ref="A3:B6"/>
  <sheetViews>
    <sheetView workbookViewId="0">
      <selection activeCell="B7" sqref="B7"/>
    </sheetView>
  </sheetViews>
  <sheetFormatPr defaultRowHeight="14.4" x14ac:dyDescent="0.3"/>
  <cols>
    <col min="1" max="1" width="12.109375" bestFit="1" customWidth="1"/>
    <col min="2" max="2" width="11.6640625" bestFit="1" customWidth="1"/>
  </cols>
  <sheetData>
    <row r="3" spans="1:2" x14ac:dyDescent="0.3">
      <c r="A3" t="s">
        <v>26</v>
      </c>
      <c r="B3" t="s">
        <v>25</v>
      </c>
    </row>
    <row r="4" spans="1:2" x14ac:dyDescent="0.3">
      <c r="A4" s="5">
        <v>23800</v>
      </c>
      <c r="B4" s="5">
        <v>139000</v>
      </c>
    </row>
    <row r="6" spans="1:2" x14ac:dyDescent="0.3">
      <c r="A6" t="str">
        <f>"Total profit: "&amp;GETPIVOTDATA("Sum of Profit",$A$3)</f>
        <v>Total profit: 23800</v>
      </c>
      <c r="B6" t="str">
        <f>"Total Sales:"&amp;GETPIVOTDATA("Sum of Sales",$A$3)</f>
        <v>Total Sales:139000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3492-C3CB-4339-AF5E-AA97C4CA82DD}">
  <dimension ref="A1:G10"/>
  <sheetViews>
    <sheetView workbookViewId="0">
      <selection activeCell="G9" sqref="A1:G9"/>
    </sheetView>
  </sheetViews>
  <sheetFormatPr defaultRowHeight="14.4" x14ac:dyDescent="0.3"/>
  <cols>
    <col min="5" max="5" width="17.33203125" bestFit="1" customWidth="1"/>
  </cols>
  <sheetData>
    <row r="1" spans="1:7" x14ac:dyDescent="0.3">
      <c r="A1" s="1" t="s">
        <v>0</v>
      </c>
      <c r="B1" s="1" t="s">
        <v>1</v>
      </c>
      <c r="C1" s="1" t="s">
        <v>2</v>
      </c>
      <c r="D1" s="1" t="s">
        <v>3</v>
      </c>
      <c r="E1" s="1" t="s">
        <v>4</v>
      </c>
      <c r="F1" s="1" t="s">
        <v>5</v>
      </c>
      <c r="G1" s="1" t="s">
        <v>6</v>
      </c>
    </row>
    <row r="2" spans="1:7" ht="28.8" x14ac:dyDescent="0.3">
      <c r="A2" s="2">
        <v>101</v>
      </c>
      <c r="B2" s="2" t="s">
        <v>7</v>
      </c>
      <c r="C2" s="2" t="s">
        <v>8</v>
      </c>
      <c r="D2" s="2" t="s">
        <v>9</v>
      </c>
      <c r="E2" s="2">
        <v>50000</v>
      </c>
      <c r="F2" s="2">
        <v>8000</v>
      </c>
      <c r="G2" s="2">
        <v>2</v>
      </c>
    </row>
    <row r="3" spans="1:7" x14ac:dyDescent="0.3">
      <c r="A3" s="2">
        <v>102</v>
      </c>
      <c r="B3" s="2" t="s">
        <v>10</v>
      </c>
      <c r="C3" s="2" t="s">
        <v>11</v>
      </c>
      <c r="D3" s="2" t="s">
        <v>12</v>
      </c>
      <c r="E3" s="2">
        <v>2000</v>
      </c>
      <c r="F3" s="2">
        <v>500</v>
      </c>
      <c r="G3" s="2">
        <v>5</v>
      </c>
    </row>
    <row r="4" spans="1:7" ht="28.8" x14ac:dyDescent="0.3">
      <c r="A4" s="2">
        <v>103</v>
      </c>
      <c r="B4" s="2" t="s">
        <v>13</v>
      </c>
      <c r="C4" s="2" t="s">
        <v>8</v>
      </c>
      <c r="D4" s="2" t="s">
        <v>14</v>
      </c>
      <c r="E4" s="2">
        <v>30000</v>
      </c>
      <c r="F4" s="2">
        <v>6000</v>
      </c>
      <c r="G4" s="2">
        <v>3</v>
      </c>
    </row>
    <row r="5" spans="1:7" x14ac:dyDescent="0.3">
      <c r="A5" s="2">
        <v>104</v>
      </c>
      <c r="B5" s="2" t="s">
        <v>15</v>
      </c>
      <c r="C5" s="2" t="s">
        <v>16</v>
      </c>
      <c r="D5" s="2" t="s">
        <v>17</v>
      </c>
      <c r="E5" s="2">
        <v>15000</v>
      </c>
      <c r="F5" s="2">
        <v>2000</v>
      </c>
      <c r="G5" s="2">
        <v>1</v>
      </c>
    </row>
    <row r="6" spans="1:7" x14ac:dyDescent="0.3">
      <c r="A6" s="2">
        <v>105</v>
      </c>
      <c r="B6" s="2" t="s">
        <v>18</v>
      </c>
      <c r="C6" s="2" t="s">
        <v>19</v>
      </c>
      <c r="D6" s="2" t="s">
        <v>9</v>
      </c>
      <c r="E6" s="2">
        <v>4000</v>
      </c>
      <c r="F6" s="2">
        <v>1000</v>
      </c>
      <c r="G6" s="2">
        <v>4</v>
      </c>
    </row>
    <row r="7" spans="1:7" ht="28.8" x14ac:dyDescent="0.3">
      <c r="A7" s="2">
        <v>106</v>
      </c>
      <c r="B7" s="2" t="s">
        <v>20</v>
      </c>
      <c r="C7" s="2" t="s">
        <v>8</v>
      </c>
      <c r="D7" s="2" t="s">
        <v>12</v>
      </c>
      <c r="E7" s="2">
        <v>25000</v>
      </c>
      <c r="F7" s="2">
        <v>4000</v>
      </c>
      <c r="G7" s="2">
        <v>2</v>
      </c>
    </row>
    <row r="8" spans="1:7" x14ac:dyDescent="0.3">
      <c r="A8" s="2">
        <v>107</v>
      </c>
      <c r="B8" s="2" t="s">
        <v>21</v>
      </c>
      <c r="C8" s="2" t="s">
        <v>16</v>
      </c>
      <c r="D8" s="2" t="s">
        <v>14</v>
      </c>
      <c r="E8" s="2">
        <v>10000</v>
      </c>
      <c r="F8" s="2">
        <v>1500</v>
      </c>
      <c r="G8" s="2">
        <v>2</v>
      </c>
    </row>
    <row r="9" spans="1:7" x14ac:dyDescent="0.3">
      <c r="A9" s="2">
        <v>108</v>
      </c>
      <c r="B9" s="2" t="s">
        <v>22</v>
      </c>
      <c r="C9" s="2" t="s">
        <v>11</v>
      </c>
      <c r="D9" s="2" t="s">
        <v>17</v>
      </c>
      <c r="E9" s="2">
        <v>3000</v>
      </c>
      <c r="F9" s="2">
        <v>800</v>
      </c>
      <c r="G9" s="2">
        <v>3</v>
      </c>
    </row>
    <row r="10" spans="1:7" x14ac:dyDescent="0.3">
      <c r="E10" t="str">
        <f>"Total sales : "&amp;SUM(E2:E9)</f>
        <v>Total sales : 139000</v>
      </c>
      <c r="F10" t="str">
        <f>"Total Profit :"&amp;SUM(F2:F9)</f>
        <v>Total Profit :23800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Saurav Singh</dc:creator>
  <cp:lastModifiedBy>Saurav Singh</cp:lastModifiedBy>
  <dcterms:created xsi:type="dcterms:W3CDTF">2026-03-28T13:05:35Z</dcterms:created>
  <dcterms:modified xsi:type="dcterms:W3CDTF">2026-03-28T14:04:37Z</dcterms:modified>
</cp:coreProperties>
</file>
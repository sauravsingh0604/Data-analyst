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Answ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BasePrice</t>
        </is>
      </c>
      <c r="E1" t="inlineStr">
        <is>
          <t>Region</t>
        </is>
      </c>
    </row>
    <row r="2">
      <c r="A2" t="inlineStr">
        <is>
          <t>P001</t>
        </is>
      </c>
      <c r="B2" t="inlineStr">
        <is>
          <t>Gamma-1</t>
        </is>
      </c>
      <c r="C2" t="inlineStr">
        <is>
          <t>Electronics</t>
        </is>
      </c>
      <c r="D2" t="n">
        <v>447</v>
      </c>
      <c r="E2" t="inlineStr">
        <is>
          <t>North</t>
        </is>
      </c>
    </row>
    <row r="3">
      <c r="A3" t="inlineStr">
        <is>
          <t>P002</t>
        </is>
      </c>
      <c r="B3" t="inlineStr">
        <is>
          <t>Eta-2</t>
        </is>
      </c>
      <c r="C3" t="inlineStr">
        <is>
          <t>Sports</t>
        </is>
      </c>
      <c r="D3" t="n">
        <v>68</v>
      </c>
      <c r="E3" t="inlineStr">
        <is>
          <t>South</t>
        </is>
      </c>
    </row>
    <row r="4">
      <c r="A4" t="inlineStr">
        <is>
          <t>P003</t>
        </is>
      </c>
      <c r="B4" t="inlineStr">
        <is>
          <t>Iota-3</t>
        </is>
      </c>
      <c r="C4" t="inlineStr">
        <is>
          <t>Home</t>
        </is>
      </c>
      <c r="D4" t="n">
        <v>341</v>
      </c>
      <c r="E4" t="inlineStr">
        <is>
          <t>West</t>
        </is>
      </c>
    </row>
    <row r="5">
      <c r="A5" t="inlineStr">
        <is>
          <t>P004</t>
        </is>
      </c>
      <c r="B5" t="inlineStr">
        <is>
          <t>Beta-4</t>
        </is>
      </c>
      <c r="C5" t="inlineStr">
        <is>
          <t>Sports</t>
        </is>
      </c>
      <c r="D5" t="n">
        <v>288</v>
      </c>
      <c r="E5" t="inlineStr">
        <is>
          <t>South</t>
        </is>
      </c>
    </row>
    <row r="6">
      <c r="A6" t="inlineStr">
        <is>
          <t>P005</t>
        </is>
      </c>
      <c r="B6" t="inlineStr">
        <is>
          <t>Alpha-5</t>
        </is>
      </c>
      <c r="C6" t="inlineStr">
        <is>
          <t>Home</t>
        </is>
      </c>
      <c r="D6" t="n">
        <v>361</v>
      </c>
      <c r="E6" t="inlineStr">
        <is>
          <t>East</t>
        </is>
      </c>
    </row>
    <row r="7">
      <c r="A7" t="inlineStr">
        <is>
          <t>P006</t>
        </is>
      </c>
      <c r="B7" t="inlineStr">
        <is>
          <t>Theta-6</t>
        </is>
      </c>
      <c r="C7" t="inlineStr">
        <is>
          <t>Home</t>
        </is>
      </c>
      <c r="D7" t="n">
        <v>215</v>
      </c>
      <c r="E7" t="inlineStr">
        <is>
          <t>South</t>
        </is>
      </c>
    </row>
    <row r="8">
      <c r="A8" t="inlineStr">
        <is>
          <t>P007</t>
        </is>
      </c>
      <c r="B8" t="inlineStr">
        <is>
          <t>Kappa-7</t>
        </is>
      </c>
      <c r="C8" t="inlineStr">
        <is>
          <t>Electronics</t>
        </is>
      </c>
      <c r="D8" t="n">
        <v>341</v>
      </c>
      <c r="E8" t="inlineStr">
        <is>
          <t>South</t>
        </is>
      </c>
    </row>
    <row r="9">
      <c r="A9" t="inlineStr">
        <is>
          <t>P008</t>
        </is>
      </c>
      <c r="B9" t="inlineStr">
        <is>
          <t>Alpha-8</t>
        </is>
      </c>
      <c r="C9" t="inlineStr">
        <is>
          <t>Sports</t>
        </is>
      </c>
      <c r="D9" t="n">
        <v>271</v>
      </c>
      <c r="E9" t="inlineStr">
        <is>
          <t>North</t>
        </is>
      </c>
    </row>
    <row r="10">
      <c r="A10" t="inlineStr">
        <is>
          <t>P009</t>
        </is>
      </c>
      <c r="B10" t="inlineStr">
        <is>
          <t>Theta-9</t>
        </is>
      </c>
      <c r="C10" t="inlineStr">
        <is>
          <t>Sports</t>
        </is>
      </c>
      <c r="D10" t="n">
        <v>266</v>
      </c>
      <c r="E10" t="inlineStr">
        <is>
          <t>East</t>
        </is>
      </c>
    </row>
    <row r="11">
      <c r="A11" t="inlineStr">
        <is>
          <t>P010</t>
        </is>
      </c>
      <c r="B11" t="inlineStr">
        <is>
          <t>Theta-10</t>
        </is>
      </c>
      <c r="C11" t="inlineStr">
        <is>
          <t>Sports</t>
        </is>
      </c>
      <c r="D11" t="n">
        <v>404</v>
      </c>
      <c r="E11" t="inlineStr">
        <is>
          <t>West</t>
        </is>
      </c>
    </row>
    <row r="12">
      <c r="A12" t="inlineStr">
        <is>
          <t>P011</t>
        </is>
      </c>
      <c r="B12" t="inlineStr">
        <is>
          <t>Zeta-11</t>
        </is>
      </c>
      <c r="C12" t="inlineStr">
        <is>
          <t>Clothing</t>
        </is>
      </c>
      <c r="D12" t="n">
        <v>269</v>
      </c>
      <c r="E12" t="inlineStr">
        <is>
          <t>West</t>
        </is>
      </c>
    </row>
    <row r="13">
      <c r="A13" t="inlineStr">
        <is>
          <t>P012</t>
        </is>
      </c>
      <c r="B13" t="inlineStr">
        <is>
          <t>Iota-12</t>
        </is>
      </c>
      <c r="C13" t="inlineStr">
        <is>
          <t>Sports</t>
        </is>
      </c>
      <c r="D13" t="n">
        <v>58</v>
      </c>
      <c r="E13" t="inlineStr">
        <is>
          <t>West</t>
        </is>
      </c>
    </row>
    <row r="14">
      <c r="A14" t="inlineStr">
        <is>
          <t>P013</t>
        </is>
      </c>
      <c r="B14" t="inlineStr">
        <is>
          <t>Epsilon-13</t>
        </is>
      </c>
      <c r="C14" t="inlineStr">
        <is>
          <t>Grocery</t>
        </is>
      </c>
      <c r="D14" t="n">
        <v>56</v>
      </c>
      <c r="E14" t="inlineStr">
        <is>
          <t>West</t>
        </is>
      </c>
    </row>
    <row r="15">
      <c r="A15" t="inlineStr">
        <is>
          <t>P014</t>
        </is>
      </c>
      <c r="B15" t="inlineStr">
        <is>
          <t>Kappa-14</t>
        </is>
      </c>
      <c r="C15" t="inlineStr">
        <is>
          <t>Grocery</t>
        </is>
      </c>
      <c r="D15" t="n">
        <v>174</v>
      </c>
      <c r="E15" t="inlineStr">
        <is>
          <t>East</t>
        </is>
      </c>
    </row>
    <row r="16">
      <c r="A16" t="inlineStr">
        <is>
          <t>P015</t>
        </is>
      </c>
      <c r="B16" t="inlineStr">
        <is>
          <t>Epsilon-15</t>
        </is>
      </c>
      <c r="C16" t="inlineStr">
        <is>
          <t>Clothing</t>
        </is>
      </c>
      <c r="D16" t="n">
        <v>290</v>
      </c>
      <c r="E16" t="inlineStr">
        <is>
          <t>North</t>
        </is>
      </c>
    </row>
    <row r="17">
      <c r="A17" t="inlineStr">
        <is>
          <t>P016</t>
        </is>
      </c>
      <c r="B17" t="inlineStr">
        <is>
          <t>Theta-16</t>
        </is>
      </c>
      <c r="C17" t="inlineStr">
        <is>
          <t>Home</t>
        </is>
      </c>
      <c r="D17" t="n">
        <v>121</v>
      </c>
      <c r="E17" t="inlineStr">
        <is>
          <t>West</t>
        </is>
      </c>
    </row>
    <row r="18">
      <c r="A18" t="inlineStr">
        <is>
          <t>P017</t>
        </is>
      </c>
      <c r="B18" t="inlineStr">
        <is>
          <t>Iota-17</t>
        </is>
      </c>
      <c r="C18" t="inlineStr">
        <is>
          <t>Home</t>
        </is>
      </c>
      <c r="D18" t="n">
        <v>199</v>
      </c>
      <c r="E18" t="inlineStr">
        <is>
          <t>North</t>
        </is>
      </c>
    </row>
    <row r="19">
      <c r="A19" t="inlineStr">
        <is>
          <t>P018</t>
        </is>
      </c>
      <c r="B19" t="inlineStr">
        <is>
          <t>Theta-18</t>
        </is>
      </c>
      <c r="C19" t="inlineStr">
        <is>
          <t>Grocery</t>
        </is>
      </c>
      <c r="D19" t="n">
        <v>129</v>
      </c>
      <c r="E19" t="inlineStr">
        <is>
          <t>East</t>
        </is>
      </c>
    </row>
    <row r="20">
      <c r="A20" t="inlineStr">
        <is>
          <t>P019</t>
        </is>
      </c>
      <c r="B20" t="inlineStr">
        <is>
          <t>Gamma-19</t>
        </is>
      </c>
      <c r="C20" t="inlineStr">
        <is>
          <t>Home</t>
        </is>
      </c>
      <c r="D20" t="n">
        <v>104</v>
      </c>
      <c r="E20" t="inlineStr">
        <is>
          <t>North</t>
        </is>
      </c>
    </row>
    <row r="21">
      <c r="A21" t="inlineStr">
        <is>
          <t>P020</t>
        </is>
      </c>
      <c r="B21" t="inlineStr">
        <is>
          <t>Epsilon-20</t>
        </is>
      </c>
      <c r="C21" t="inlineStr">
        <is>
          <t>Grocery</t>
        </is>
      </c>
      <c r="D21" t="n">
        <v>135</v>
      </c>
      <c r="E21" t="inlineStr">
        <is>
          <t>West</t>
        </is>
      </c>
    </row>
    <row r="22">
      <c r="A22" t="inlineStr">
        <is>
          <t>P021</t>
        </is>
      </c>
      <c r="B22" t="inlineStr">
        <is>
          <t>Zeta-21</t>
        </is>
      </c>
      <c r="C22" t="inlineStr">
        <is>
          <t>Grocery</t>
        </is>
      </c>
      <c r="D22" t="n">
        <v>409</v>
      </c>
      <c r="E22" t="inlineStr">
        <is>
          <t>East</t>
        </is>
      </c>
    </row>
    <row r="23">
      <c r="A23" t="inlineStr">
        <is>
          <t>P022</t>
        </is>
      </c>
      <c r="B23" t="inlineStr">
        <is>
          <t>Alpha-22</t>
        </is>
      </c>
      <c r="C23" t="inlineStr">
        <is>
          <t>Electronics</t>
        </is>
      </c>
      <c r="D23" t="n">
        <v>236</v>
      </c>
      <c r="E23" t="inlineStr">
        <is>
          <t>South</t>
        </is>
      </c>
    </row>
    <row r="24">
      <c r="A24" t="inlineStr">
        <is>
          <t>P023</t>
        </is>
      </c>
      <c r="B24" t="inlineStr">
        <is>
          <t>Theta-23</t>
        </is>
      </c>
      <c r="C24" t="inlineStr">
        <is>
          <t>Clothing</t>
        </is>
      </c>
      <c r="D24" t="n">
        <v>380</v>
      </c>
      <c r="E24" t="inlineStr">
        <is>
          <t>West</t>
        </is>
      </c>
    </row>
    <row r="25">
      <c r="A25" t="inlineStr">
        <is>
          <t>P024</t>
        </is>
      </c>
      <c r="B25" t="inlineStr">
        <is>
          <t>Kappa-24</t>
        </is>
      </c>
      <c r="C25" t="inlineStr">
        <is>
          <t>Clothing</t>
        </is>
      </c>
      <c r="D25" t="n">
        <v>190</v>
      </c>
      <c r="E25" t="inlineStr">
        <is>
          <t>West</t>
        </is>
      </c>
    </row>
    <row r="26">
      <c r="A26" t="inlineStr">
        <is>
          <t>P025</t>
        </is>
      </c>
      <c r="B26" t="inlineStr">
        <is>
          <t>Kappa-25</t>
        </is>
      </c>
      <c r="C26" t="inlineStr">
        <is>
          <t>Home</t>
        </is>
      </c>
      <c r="D26" t="n">
        <v>434</v>
      </c>
      <c r="E26" t="inlineStr">
        <is>
          <t>West</t>
        </is>
      </c>
    </row>
    <row r="27">
      <c r="A27" t="inlineStr">
        <is>
          <t>P026</t>
        </is>
      </c>
      <c r="B27" t="inlineStr">
        <is>
          <t>Zeta-26</t>
        </is>
      </c>
      <c r="C27" t="inlineStr">
        <is>
          <t>Sports</t>
        </is>
      </c>
      <c r="D27" t="n">
        <v>392</v>
      </c>
      <c r="E27" t="inlineStr">
        <is>
          <t>South</t>
        </is>
      </c>
    </row>
    <row r="28">
      <c r="A28" t="inlineStr">
        <is>
          <t>P027</t>
        </is>
      </c>
      <c r="B28" t="inlineStr">
        <is>
          <t>Kappa-27</t>
        </is>
      </c>
      <c r="C28" t="inlineStr">
        <is>
          <t>Home</t>
        </is>
      </c>
      <c r="D28" t="n">
        <v>193</v>
      </c>
      <c r="E28" t="inlineStr">
        <is>
          <t>East</t>
        </is>
      </c>
    </row>
    <row r="29">
      <c r="A29" t="inlineStr">
        <is>
          <t>P028</t>
        </is>
      </c>
      <c r="B29" t="inlineStr">
        <is>
          <t>Theta-28</t>
        </is>
      </c>
      <c r="C29" t="inlineStr">
        <is>
          <t>Sports</t>
        </is>
      </c>
      <c r="D29" t="n">
        <v>486</v>
      </c>
      <c r="E29" t="inlineStr">
        <is>
          <t>North</t>
        </is>
      </c>
    </row>
    <row r="30">
      <c r="A30" t="inlineStr">
        <is>
          <t>P029</t>
        </is>
      </c>
      <c r="B30" t="inlineStr">
        <is>
          <t>Eta-29</t>
        </is>
      </c>
      <c r="C30" t="inlineStr">
        <is>
          <t>Home</t>
        </is>
      </c>
      <c r="D30" t="n">
        <v>356</v>
      </c>
      <c r="E30" t="inlineStr">
        <is>
          <t>South</t>
        </is>
      </c>
    </row>
    <row r="31">
      <c r="A31" t="inlineStr">
        <is>
          <t>P030</t>
        </is>
      </c>
      <c r="B31" t="inlineStr">
        <is>
          <t>Iota-30</t>
        </is>
      </c>
      <c r="C31" t="inlineStr">
        <is>
          <t>Grocery</t>
        </is>
      </c>
      <c r="D31" t="n">
        <v>346</v>
      </c>
      <c r="E31" t="inlineStr">
        <is>
          <t>West</t>
        </is>
      </c>
    </row>
    <row r="32">
      <c r="A32" t="inlineStr">
        <is>
          <t>P031</t>
        </is>
      </c>
      <c r="B32" t="inlineStr">
        <is>
          <t>Zeta-31</t>
        </is>
      </c>
      <c r="C32" t="inlineStr">
        <is>
          <t>Clothing</t>
        </is>
      </c>
      <c r="D32" t="n">
        <v>141</v>
      </c>
      <c r="E32" t="inlineStr">
        <is>
          <t>South</t>
        </is>
      </c>
    </row>
    <row r="33">
      <c r="A33" t="inlineStr">
        <is>
          <t>P032</t>
        </is>
      </c>
      <c r="B33" t="inlineStr">
        <is>
          <t>Epsilon-32</t>
        </is>
      </c>
      <c r="C33" t="inlineStr">
        <is>
          <t>Electronics</t>
        </is>
      </c>
      <c r="D33" t="n">
        <v>425</v>
      </c>
      <c r="E33" t="inlineStr">
        <is>
          <t>South</t>
        </is>
      </c>
    </row>
    <row r="34">
      <c r="A34" t="inlineStr">
        <is>
          <t>P033</t>
        </is>
      </c>
      <c r="B34" t="inlineStr">
        <is>
          <t>Iota-33</t>
        </is>
      </c>
      <c r="C34" t="inlineStr">
        <is>
          <t>Electronics</t>
        </is>
      </c>
      <c r="D34" t="n">
        <v>206</v>
      </c>
      <c r="E34" t="inlineStr">
        <is>
          <t>South</t>
        </is>
      </c>
    </row>
    <row r="35">
      <c r="A35" t="inlineStr">
        <is>
          <t>P034</t>
        </is>
      </c>
      <c r="B35" t="inlineStr">
        <is>
          <t>Alpha-34</t>
        </is>
      </c>
      <c r="C35" t="inlineStr">
        <is>
          <t>Electronics</t>
        </is>
      </c>
      <c r="D35" t="n">
        <v>116</v>
      </c>
      <c r="E35" t="inlineStr">
        <is>
          <t>South</t>
        </is>
      </c>
    </row>
    <row r="36">
      <c r="A36" t="inlineStr">
        <is>
          <t>P035</t>
        </is>
      </c>
      <c r="B36" t="inlineStr">
        <is>
          <t>Gamma-35</t>
        </is>
      </c>
      <c r="C36" t="inlineStr">
        <is>
          <t>Sports</t>
        </is>
      </c>
      <c r="D36" t="n">
        <v>173</v>
      </c>
      <c r="E36" t="inlineStr">
        <is>
          <t>South</t>
        </is>
      </c>
    </row>
    <row r="37">
      <c r="A37" t="inlineStr">
        <is>
          <t>P036</t>
        </is>
      </c>
      <c r="B37" t="inlineStr">
        <is>
          <t>Theta-36</t>
        </is>
      </c>
      <c r="C37" t="inlineStr">
        <is>
          <t>Grocery</t>
        </is>
      </c>
      <c r="D37" t="n">
        <v>173</v>
      </c>
      <c r="E37" t="inlineStr">
        <is>
          <t>South</t>
        </is>
      </c>
    </row>
    <row r="38">
      <c r="A38" t="inlineStr">
        <is>
          <t>P037</t>
        </is>
      </c>
      <c r="B38" t="inlineStr">
        <is>
          <t>Beta-37</t>
        </is>
      </c>
      <c r="C38" t="inlineStr">
        <is>
          <t>Home</t>
        </is>
      </c>
      <c r="D38" t="n">
        <v>198</v>
      </c>
      <c r="E38" t="inlineStr">
        <is>
          <t>South</t>
        </is>
      </c>
    </row>
    <row r="39">
      <c r="A39" t="inlineStr">
        <is>
          <t>P038</t>
        </is>
      </c>
      <c r="B39" t="inlineStr">
        <is>
          <t>Iota-38</t>
        </is>
      </c>
      <c r="C39" t="inlineStr">
        <is>
          <t>Electronics</t>
        </is>
      </c>
      <c r="D39" t="n">
        <v>152</v>
      </c>
      <c r="E39" t="inlineStr">
        <is>
          <t>North</t>
        </is>
      </c>
    </row>
    <row r="40">
      <c r="A40" t="inlineStr">
        <is>
          <t>P039</t>
        </is>
      </c>
      <c r="B40" t="inlineStr">
        <is>
          <t>Beta-39</t>
        </is>
      </c>
      <c r="C40" t="inlineStr">
        <is>
          <t>Electronics</t>
        </is>
      </c>
      <c r="D40" t="n">
        <v>280</v>
      </c>
      <c r="E40" t="inlineStr">
        <is>
          <t>North</t>
        </is>
      </c>
    </row>
    <row r="41">
      <c r="A41" t="inlineStr">
        <is>
          <t>P040</t>
        </is>
      </c>
      <c r="B41" t="inlineStr">
        <is>
          <t>Zeta-40</t>
        </is>
      </c>
      <c r="C41" t="inlineStr">
        <is>
          <t>Home</t>
        </is>
      </c>
      <c r="D41" t="n">
        <v>335</v>
      </c>
      <c r="E41" t="inlineStr">
        <is>
          <t>West</t>
        </is>
      </c>
    </row>
    <row r="42">
      <c r="A42" t="inlineStr">
        <is>
          <t>P041</t>
        </is>
      </c>
      <c r="B42" t="inlineStr">
        <is>
          <t>Eta-41</t>
        </is>
      </c>
      <c r="C42" t="inlineStr">
        <is>
          <t>Home</t>
        </is>
      </c>
      <c r="D42" t="n">
        <v>235</v>
      </c>
      <c r="E42" t="inlineStr">
        <is>
          <t>South</t>
        </is>
      </c>
    </row>
    <row r="43">
      <c r="A43" t="inlineStr">
        <is>
          <t>P042</t>
        </is>
      </c>
      <c r="B43" t="inlineStr">
        <is>
          <t>Theta-42</t>
        </is>
      </c>
      <c r="C43" t="inlineStr">
        <is>
          <t>Sports</t>
        </is>
      </c>
      <c r="D43" t="n">
        <v>278</v>
      </c>
      <c r="E43" t="inlineStr">
        <is>
          <t>West</t>
        </is>
      </c>
    </row>
    <row r="44">
      <c r="A44" t="inlineStr">
        <is>
          <t>P043</t>
        </is>
      </c>
      <c r="B44" t="inlineStr">
        <is>
          <t>Eta-43</t>
        </is>
      </c>
      <c r="C44" t="inlineStr">
        <is>
          <t>Sports</t>
        </is>
      </c>
      <c r="D44" t="n">
        <v>191</v>
      </c>
      <c r="E44" t="inlineStr">
        <is>
          <t>South</t>
        </is>
      </c>
    </row>
    <row r="45">
      <c r="A45" t="inlineStr">
        <is>
          <t>P044</t>
        </is>
      </c>
      <c r="B45" t="inlineStr">
        <is>
          <t>Delta-44</t>
        </is>
      </c>
      <c r="C45" t="inlineStr">
        <is>
          <t>Sports</t>
        </is>
      </c>
      <c r="D45" t="n">
        <v>329</v>
      </c>
      <c r="E45" t="inlineStr">
        <is>
          <t>West</t>
        </is>
      </c>
    </row>
    <row r="46">
      <c r="A46" t="inlineStr">
        <is>
          <t>P045</t>
        </is>
      </c>
      <c r="B46" t="inlineStr">
        <is>
          <t>Gamma-45</t>
        </is>
      </c>
      <c r="C46" t="inlineStr">
        <is>
          <t>Grocery</t>
        </is>
      </c>
      <c r="D46" t="n">
        <v>184</v>
      </c>
      <c r="E46" t="inlineStr">
        <is>
          <t>West</t>
        </is>
      </c>
    </row>
    <row r="47">
      <c r="A47" t="inlineStr">
        <is>
          <t>P046</t>
        </is>
      </c>
      <c r="B47" t="inlineStr">
        <is>
          <t>Delta-46</t>
        </is>
      </c>
      <c r="C47" t="inlineStr">
        <is>
          <t>Grocery</t>
        </is>
      </c>
      <c r="D47" t="n">
        <v>444</v>
      </c>
      <c r="E47" t="inlineStr">
        <is>
          <t>East</t>
        </is>
      </c>
    </row>
    <row r="48">
      <c r="A48" t="inlineStr">
        <is>
          <t>P047</t>
        </is>
      </c>
      <c r="B48" t="inlineStr">
        <is>
          <t>Eta-47</t>
        </is>
      </c>
      <c r="C48" t="inlineStr">
        <is>
          <t>Clothing</t>
        </is>
      </c>
      <c r="D48" t="n">
        <v>286</v>
      </c>
      <c r="E48" t="inlineStr">
        <is>
          <t>West</t>
        </is>
      </c>
    </row>
    <row r="49">
      <c r="A49" t="inlineStr">
        <is>
          <t>P048</t>
        </is>
      </c>
      <c r="B49" t="inlineStr">
        <is>
          <t>Alpha-48</t>
        </is>
      </c>
      <c r="C49" t="inlineStr">
        <is>
          <t>Electronics</t>
        </is>
      </c>
      <c r="D49" t="n">
        <v>357</v>
      </c>
      <c r="E49" t="inlineStr">
        <is>
          <t>South</t>
        </is>
      </c>
    </row>
    <row r="50">
      <c r="A50" t="inlineStr">
        <is>
          <t>P049</t>
        </is>
      </c>
      <c r="B50" t="inlineStr">
        <is>
          <t>Alpha-49</t>
        </is>
      </c>
      <c r="C50" t="inlineStr">
        <is>
          <t>Electronics</t>
        </is>
      </c>
      <c r="D50" t="n">
        <v>94</v>
      </c>
      <c r="E50" t="inlineStr">
        <is>
          <t>South</t>
        </is>
      </c>
    </row>
    <row r="51">
      <c r="A51" t="inlineStr">
        <is>
          <t>P050</t>
        </is>
      </c>
      <c r="B51" t="inlineStr">
        <is>
          <t>Beta-50</t>
        </is>
      </c>
      <c r="C51" t="inlineStr">
        <is>
          <t>Sports</t>
        </is>
      </c>
      <c r="D51" t="n">
        <v>153</v>
      </c>
      <c r="E5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Date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Region</t>
        </is>
      </c>
    </row>
    <row r="2">
      <c r="A2" t="inlineStr">
        <is>
          <t>T0001</t>
        </is>
      </c>
      <c r="B2" t="inlineStr">
        <is>
          <t>2024-04-26</t>
        </is>
      </c>
      <c r="C2" t="inlineStr">
        <is>
          <t>P002</t>
        </is>
      </c>
      <c r="D2" t="n">
        <v>19</v>
      </c>
      <c r="E2" t="n">
        <v>442</v>
      </c>
      <c r="F2" t="inlineStr">
        <is>
          <t>West</t>
        </is>
      </c>
    </row>
    <row r="3">
      <c r="A3" t="inlineStr">
        <is>
          <t>T0002</t>
        </is>
      </c>
      <c r="B3" t="inlineStr">
        <is>
          <t>2024-07-11</t>
        </is>
      </c>
      <c r="C3" t="inlineStr">
        <is>
          <t>P006</t>
        </is>
      </c>
      <c r="D3" t="n">
        <v>6</v>
      </c>
      <c r="E3" t="n">
        <v>69</v>
      </c>
      <c r="F3" t="inlineStr">
        <is>
          <t>North</t>
        </is>
      </c>
    </row>
    <row r="4">
      <c r="A4" t="inlineStr">
        <is>
          <t>T0003</t>
        </is>
      </c>
      <c r="B4" t="inlineStr">
        <is>
          <t>2024-09-11</t>
        </is>
      </c>
      <c r="C4" t="inlineStr">
        <is>
          <t>P013</t>
        </is>
      </c>
      <c r="D4" t="n">
        <v>4</v>
      </c>
      <c r="E4" t="n">
        <v>330</v>
      </c>
      <c r="F4" t="inlineStr">
        <is>
          <t>North</t>
        </is>
      </c>
    </row>
    <row r="5">
      <c r="A5" t="inlineStr">
        <is>
          <t>T0004</t>
        </is>
      </c>
      <c r="B5" t="inlineStr">
        <is>
          <t>2024-07-13</t>
        </is>
      </c>
      <c r="C5" t="inlineStr">
        <is>
          <t>P010</t>
        </is>
      </c>
      <c r="D5" t="n">
        <v>14</v>
      </c>
      <c r="E5" t="n">
        <v>366</v>
      </c>
      <c r="F5" t="inlineStr">
        <is>
          <t>North</t>
        </is>
      </c>
    </row>
    <row r="6">
      <c r="A6" t="inlineStr">
        <is>
          <t>T0005</t>
        </is>
      </c>
      <c r="B6" t="inlineStr">
        <is>
          <t>2024-08-19</t>
        </is>
      </c>
      <c r="C6" t="inlineStr">
        <is>
          <t>P012</t>
        </is>
      </c>
      <c r="D6" t="n">
        <v>3</v>
      </c>
      <c r="E6" t="n">
        <v>433</v>
      </c>
      <c r="F6" t="inlineStr">
        <is>
          <t>East</t>
        </is>
      </c>
    </row>
    <row r="7">
      <c r="A7" t="inlineStr">
        <is>
          <t>T0006</t>
        </is>
      </c>
      <c r="B7" t="inlineStr">
        <is>
          <t>2024-07-02</t>
        </is>
      </c>
      <c r="C7" t="inlineStr">
        <is>
          <t>P038</t>
        </is>
      </c>
      <c r="D7" t="n">
        <v>20</v>
      </c>
      <c r="E7" t="n">
        <v>398</v>
      </c>
      <c r="F7" t="inlineStr">
        <is>
          <t>North</t>
        </is>
      </c>
    </row>
    <row r="8">
      <c r="A8" t="inlineStr">
        <is>
          <t>T0007</t>
        </is>
      </c>
      <c r="B8" t="inlineStr">
        <is>
          <t>2024-07-13</t>
        </is>
      </c>
      <c r="C8" t="inlineStr">
        <is>
          <t>P038</t>
        </is>
      </c>
      <c r="D8" t="n">
        <v>11</v>
      </c>
      <c r="E8" t="n">
        <v>301</v>
      </c>
      <c r="F8" t="inlineStr">
        <is>
          <t>South</t>
        </is>
      </c>
    </row>
    <row r="9">
      <c r="A9" t="inlineStr">
        <is>
          <t>T0008</t>
        </is>
      </c>
      <c r="B9" t="inlineStr">
        <is>
          <t>2024-01-26</t>
        </is>
      </c>
      <c r="C9" t="inlineStr">
        <is>
          <t>P041</t>
        </is>
      </c>
      <c r="D9" t="n">
        <v>16</v>
      </c>
      <c r="E9" t="n">
        <v>491</v>
      </c>
      <c r="F9" t="inlineStr">
        <is>
          <t>East</t>
        </is>
      </c>
    </row>
    <row r="10">
      <c r="A10" t="inlineStr">
        <is>
          <t>T0009</t>
        </is>
      </c>
      <c r="B10" t="inlineStr">
        <is>
          <t>2024-04-27</t>
        </is>
      </c>
      <c r="C10" t="inlineStr">
        <is>
          <t>P020</t>
        </is>
      </c>
      <c r="D10" t="n">
        <v>10</v>
      </c>
      <c r="E10" t="n">
        <v>441</v>
      </c>
      <c r="F10" t="inlineStr">
        <is>
          <t>West</t>
        </is>
      </c>
    </row>
    <row r="11">
      <c r="A11" t="inlineStr">
        <is>
          <t>T0010</t>
        </is>
      </c>
      <c r="B11" t="inlineStr">
        <is>
          <t>2024-08-13</t>
        </is>
      </c>
      <c r="C11" t="inlineStr">
        <is>
          <t>P012</t>
        </is>
      </c>
      <c r="D11" t="n">
        <v>15</v>
      </c>
      <c r="E11" t="n">
        <v>285</v>
      </c>
      <c r="F11" t="inlineStr">
        <is>
          <t>North</t>
        </is>
      </c>
    </row>
    <row r="12">
      <c r="A12" t="inlineStr">
        <is>
          <t>T0011</t>
        </is>
      </c>
      <c r="B12" t="inlineStr">
        <is>
          <t>2024-02-01</t>
        </is>
      </c>
      <c r="C12" t="inlineStr">
        <is>
          <t>P015</t>
        </is>
      </c>
      <c r="D12" t="n">
        <v>7</v>
      </c>
      <c r="E12" t="n">
        <v>359</v>
      </c>
      <c r="F12" t="inlineStr">
        <is>
          <t>North</t>
        </is>
      </c>
    </row>
    <row r="13">
      <c r="A13" t="inlineStr">
        <is>
          <t>T0012</t>
        </is>
      </c>
      <c r="B13" t="inlineStr">
        <is>
          <t>2024-09-15</t>
        </is>
      </c>
      <c r="C13" t="inlineStr">
        <is>
          <t>P049</t>
        </is>
      </c>
      <c r="D13" t="n">
        <v>16</v>
      </c>
      <c r="E13" t="n">
        <v>394</v>
      </c>
      <c r="F13" t="inlineStr">
        <is>
          <t>North</t>
        </is>
      </c>
    </row>
    <row r="14">
      <c r="A14" t="inlineStr">
        <is>
          <t>T0013</t>
        </is>
      </c>
      <c r="B14" t="inlineStr">
        <is>
          <t>2024-05-30</t>
        </is>
      </c>
      <c r="C14" t="inlineStr">
        <is>
          <t>P036</t>
        </is>
      </c>
      <c r="D14" t="n">
        <v>13</v>
      </c>
      <c r="E14" t="n">
        <v>433</v>
      </c>
      <c r="F14" t="inlineStr">
        <is>
          <t>West</t>
        </is>
      </c>
    </row>
    <row r="15">
      <c r="A15" t="inlineStr">
        <is>
          <t>T0014</t>
        </is>
      </c>
      <c r="B15" t="inlineStr">
        <is>
          <t>2024-11-27</t>
        </is>
      </c>
      <c r="C15" t="inlineStr">
        <is>
          <t>P046</t>
        </is>
      </c>
      <c r="D15" t="n">
        <v>16</v>
      </c>
      <c r="E15" t="n">
        <v>223</v>
      </c>
      <c r="F15" t="inlineStr">
        <is>
          <t>North</t>
        </is>
      </c>
    </row>
    <row r="16">
      <c r="A16" t="inlineStr">
        <is>
          <t>T0015</t>
        </is>
      </c>
      <c r="B16" t="inlineStr">
        <is>
          <t>2024-08-19</t>
        </is>
      </c>
      <c r="C16" t="inlineStr">
        <is>
          <t>P012</t>
        </is>
      </c>
      <c r="D16" t="n">
        <v>17</v>
      </c>
      <c r="E16" t="n">
        <v>453</v>
      </c>
      <c r="F16" t="inlineStr">
        <is>
          <t>West</t>
        </is>
      </c>
    </row>
    <row r="17">
      <c r="A17" t="inlineStr">
        <is>
          <t>T0016</t>
        </is>
      </c>
      <c r="B17" t="inlineStr">
        <is>
          <t>2024-11-09</t>
        </is>
      </c>
      <c r="C17" t="inlineStr">
        <is>
          <t>P001</t>
        </is>
      </c>
      <c r="D17" t="n">
        <v>7</v>
      </c>
      <c r="E17" t="n">
        <v>153</v>
      </c>
      <c r="F17" t="inlineStr">
        <is>
          <t>East</t>
        </is>
      </c>
    </row>
    <row r="18">
      <c r="A18" t="inlineStr">
        <is>
          <t>T0017</t>
        </is>
      </c>
      <c r="B18" t="inlineStr">
        <is>
          <t>2024-12-10</t>
        </is>
      </c>
      <c r="C18" t="inlineStr">
        <is>
          <t>P044</t>
        </is>
      </c>
      <c r="D18" t="n">
        <v>1</v>
      </c>
      <c r="E18" t="n">
        <v>286</v>
      </c>
      <c r="F18" t="inlineStr">
        <is>
          <t>North</t>
        </is>
      </c>
    </row>
    <row r="19">
      <c r="A19" t="inlineStr">
        <is>
          <t>T0018</t>
        </is>
      </c>
      <c r="B19" t="inlineStr">
        <is>
          <t>2024-05-10</t>
        </is>
      </c>
      <c r="C19" t="inlineStr">
        <is>
          <t>P003</t>
        </is>
      </c>
      <c r="D19" t="n">
        <v>15</v>
      </c>
      <c r="E19" t="n">
        <v>243</v>
      </c>
      <c r="F19" t="inlineStr">
        <is>
          <t>West</t>
        </is>
      </c>
    </row>
    <row r="20">
      <c r="A20" t="inlineStr">
        <is>
          <t>T0019</t>
        </is>
      </c>
      <c r="B20" t="inlineStr">
        <is>
          <t>2024-03-22</t>
        </is>
      </c>
      <c r="C20" t="inlineStr">
        <is>
          <t>P020</t>
        </is>
      </c>
      <c r="D20" t="n">
        <v>11</v>
      </c>
      <c r="E20" t="n">
        <v>166</v>
      </c>
      <c r="F20" t="inlineStr">
        <is>
          <t>West</t>
        </is>
      </c>
    </row>
    <row r="21">
      <c r="A21" t="inlineStr">
        <is>
          <t>T0020</t>
        </is>
      </c>
      <c r="B21" t="inlineStr">
        <is>
          <t>2024-09-16</t>
        </is>
      </c>
      <c r="C21" t="inlineStr">
        <is>
          <t>P008</t>
        </is>
      </c>
      <c r="D21" t="n">
        <v>9</v>
      </c>
      <c r="E21" t="n">
        <v>309</v>
      </c>
      <c r="F21" t="inlineStr">
        <is>
          <t>North</t>
        </is>
      </c>
    </row>
    <row r="22">
      <c r="A22" t="inlineStr">
        <is>
          <t>T0021</t>
        </is>
      </c>
      <c r="B22" t="inlineStr">
        <is>
          <t>2024-10-16</t>
        </is>
      </c>
      <c r="C22" t="inlineStr">
        <is>
          <t>P036</t>
        </is>
      </c>
      <c r="D22" t="n">
        <v>20</v>
      </c>
      <c r="E22" t="n">
        <v>349</v>
      </c>
      <c r="F22" t="inlineStr">
        <is>
          <t>South</t>
        </is>
      </c>
    </row>
    <row r="23">
      <c r="A23" t="inlineStr">
        <is>
          <t>T0022</t>
        </is>
      </c>
      <c r="B23" t="inlineStr">
        <is>
          <t>2024-05-24</t>
        </is>
      </c>
      <c r="C23" t="inlineStr">
        <is>
          <t>P035</t>
        </is>
      </c>
      <c r="D23" t="n">
        <v>11</v>
      </c>
      <c r="E23" t="n">
        <v>201</v>
      </c>
      <c r="F23" t="inlineStr">
        <is>
          <t>East</t>
        </is>
      </c>
    </row>
    <row r="24">
      <c r="A24" t="inlineStr">
        <is>
          <t>T0023</t>
        </is>
      </c>
      <c r="B24" t="inlineStr">
        <is>
          <t>2024-07-27</t>
        </is>
      </c>
      <c r="C24" t="inlineStr">
        <is>
          <t>P007</t>
        </is>
      </c>
      <c r="D24" t="n">
        <v>12</v>
      </c>
      <c r="E24" t="n">
        <v>285</v>
      </c>
      <c r="F24" t="inlineStr">
        <is>
          <t>North</t>
        </is>
      </c>
    </row>
    <row r="25">
      <c r="A25" t="inlineStr">
        <is>
          <t>T0024</t>
        </is>
      </c>
      <c r="B25" t="inlineStr">
        <is>
          <t>2024-12-12</t>
        </is>
      </c>
      <c r="C25" t="inlineStr">
        <is>
          <t>P031</t>
        </is>
      </c>
      <c r="D25" t="n">
        <v>10</v>
      </c>
      <c r="E25" t="n">
        <v>50</v>
      </c>
      <c r="F25" t="inlineStr">
        <is>
          <t>East</t>
        </is>
      </c>
    </row>
    <row r="26">
      <c r="A26" t="inlineStr">
        <is>
          <t>T0025</t>
        </is>
      </c>
      <c r="B26" t="inlineStr">
        <is>
          <t>2024-07-21</t>
        </is>
      </c>
      <c r="C26" t="inlineStr">
        <is>
          <t>P025</t>
        </is>
      </c>
      <c r="D26" t="n">
        <v>10</v>
      </c>
      <c r="E26" t="n">
        <v>252</v>
      </c>
      <c r="F26" t="inlineStr">
        <is>
          <t>West</t>
        </is>
      </c>
    </row>
    <row r="27">
      <c r="A27" t="inlineStr">
        <is>
          <t>T0026</t>
        </is>
      </c>
      <c r="B27" t="inlineStr">
        <is>
          <t>2024-01-21</t>
        </is>
      </c>
      <c r="C27" t="inlineStr">
        <is>
          <t>P041</t>
        </is>
      </c>
      <c r="D27" t="n">
        <v>12</v>
      </c>
      <c r="E27" t="n">
        <v>233</v>
      </c>
      <c r="F27" t="inlineStr">
        <is>
          <t>East</t>
        </is>
      </c>
    </row>
    <row r="28">
      <c r="A28" t="inlineStr">
        <is>
          <t>T0027</t>
        </is>
      </c>
      <c r="B28" t="inlineStr">
        <is>
          <t>2024-11-17</t>
        </is>
      </c>
      <c r="C28" t="inlineStr">
        <is>
          <t>P028</t>
        </is>
      </c>
      <c r="D28" t="n">
        <v>6</v>
      </c>
      <c r="E28" t="n">
        <v>230</v>
      </c>
      <c r="F28" t="inlineStr">
        <is>
          <t>North</t>
        </is>
      </c>
    </row>
    <row r="29">
      <c r="A29" t="inlineStr">
        <is>
          <t>T0028</t>
        </is>
      </c>
      <c r="B29" t="inlineStr">
        <is>
          <t>2024-02-17</t>
        </is>
      </c>
      <c r="C29" t="inlineStr">
        <is>
          <t>P031</t>
        </is>
      </c>
      <c r="D29" t="n">
        <v>1</v>
      </c>
      <c r="E29" t="n">
        <v>432</v>
      </c>
      <c r="F29" t="inlineStr">
        <is>
          <t>South</t>
        </is>
      </c>
    </row>
    <row r="30">
      <c r="A30" t="inlineStr">
        <is>
          <t>T0029</t>
        </is>
      </c>
      <c r="B30" t="inlineStr">
        <is>
          <t>2024-06-10</t>
        </is>
      </c>
      <c r="C30" t="inlineStr">
        <is>
          <t>P027</t>
        </is>
      </c>
      <c r="D30" t="n">
        <v>6</v>
      </c>
      <c r="E30" t="n">
        <v>331</v>
      </c>
      <c r="F30" t="inlineStr">
        <is>
          <t>West</t>
        </is>
      </c>
    </row>
    <row r="31">
      <c r="A31" t="inlineStr">
        <is>
          <t>T0030</t>
        </is>
      </c>
      <c r="B31" t="inlineStr">
        <is>
          <t>2024-05-07</t>
        </is>
      </c>
      <c r="C31" t="inlineStr">
        <is>
          <t>P025</t>
        </is>
      </c>
      <c r="D31" t="n">
        <v>2</v>
      </c>
      <c r="E31" t="n">
        <v>382</v>
      </c>
      <c r="F31" t="inlineStr">
        <is>
          <t>North</t>
        </is>
      </c>
    </row>
    <row r="32">
      <c r="A32" t="inlineStr">
        <is>
          <t>T0031</t>
        </is>
      </c>
      <c r="B32" t="inlineStr">
        <is>
          <t>2024-05-31</t>
        </is>
      </c>
      <c r="C32" t="inlineStr">
        <is>
          <t>P016</t>
        </is>
      </c>
      <c r="D32" t="n">
        <v>6</v>
      </c>
      <c r="E32" t="n">
        <v>500</v>
      </c>
      <c r="F32" t="inlineStr">
        <is>
          <t>West</t>
        </is>
      </c>
    </row>
    <row r="33">
      <c r="A33" t="inlineStr">
        <is>
          <t>T0032</t>
        </is>
      </c>
      <c r="B33" t="inlineStr">
        <is>
          <t>2024-02-22</t>
        </is>
      </c>
      <c r="C33" t="inlineStr">
        <is>
          <t>P030</t>
        </is>
      </c>
      <c r="D33" t="n">
        <v>5</v>
      </c>
      <c r="E33" t="n">
        <v>99</v>
      </c>
      <c r="F33" t="inlineStr">
        <is>
          <t>East</t>
        </is>
      </c>
    </row>
    <row r="34">
      <c r="A34" t="inlineStr">
        <is>
          <t>T0033</t>
        </is>
      </c>
      <c r="B34" t="inlineStr">
        <is>
          <t>2024-02-03</t>
        </is>
      </c>
      <c r="C34" t="inlineStr">
        <is>
          <t>P015</t>
        </is>
      </c>
      <c r="D34" t="n">
        <v>17</v>
      </c>
      <c r="E34" t="n">
        <v>354</v>
      </c>
      <c r="F34" t="inlineStr">
        <is>
          <t>North</t>
        </is>
      </c>
    </row>
    <row r="35">
      <c r="A35" t="inlineStr">
        <is>
          <t>T0034</t>
        </is>
      </c>
      <c r="B35" t="inlineStr">
        <is>
          <t>2024-05-27</t>
        </is>
      </c>
      <c r="C35" t="inlineStr">
        <is>
          <t>P025</t>
        </is>
      </c>
      <c r="D35" t="n">
        <v>18</v>
      </c>
      <c r="E35" t="n">
        <v>98</v>
      </c>
      <c r="F35" t="inlineStr">
        <is>
          <t>North</t>
        </is>
      </c>
    </row>
    <row r="36">
      <c r="A36" t="inlineStr">
        <is>
          <t>T0035</t>
        </is>
      </c>
      <c r="B36" t="inlineStr">
        <is>
          <t>2024-03-30</t>
        </is>
      </c>
      <c r="C36" t="inlineStr">
        <is>
          <t>P009</t>
        </is>
      </c>
      <c r="D36" t="n">
        <v>11</v>
      </c>
      <c r="E36" t="n">
        <v>95</v>
      </c>
      <c r="F36" t="inlineStr">
        <is>
          <t>North</t>
        </is>
      </c>
    </row>
    <row r="37">
      <c r="A37" t="inlineStr">
        <is>
          <t>T0036</t>
        </is>
      </c>
      <c r="B37" t="inlineStr">
        <is>
          <t>2024-04-22</t>
        </is>
      </c>
      <c r="C37" t="inlineStr">
        <is>
          <t>P044</t>
        </is>
      </c>
      <c r="D37" t="n">
        <v>15</v>
      </c>
      <c r="E37" t="n">
        <v>118</v>
      </c>
      <c r="F37" t="inlineStr">
        <is>
          <t>West</t>
        </is>
      </c>
    </row>
    <row r="38">
      <c r="A38" t="inlineStr">
        <is>
          <t>T0037</t>
        </is>
      </c>
      <c r="B38" t="inlineStr">
        <is>
          <t>2024-03-16</t>
        </is>
      </c>
      <c r="C38" t="inlineStr">
        <is>
          <t>P037</t>
        </is>
      </c>
      <c r="D38" t="n">
        <v>11</v>
      </c>
      <c r="E38" t="n">
        <v>232</v>
      </c>
      <c r="F38" t="inlineStr">
        <is>
          <t>South</t>
        </is>
      </c>
    </row>
    <row r="39">
      <c r="A39" t="inlineStr">
        <is>
          <t>T0038</t>
        </is>
      </c>
      <c r="B39" t="inlineStr">
        <is>
          <t>2024-05-01</t>
        </is>
      </c>
      <c r="C39" t="inlineStr">
        <is>
          <t>P037</t>
        </is>
      </c>
      <c r="D39" t="n">
        <v>7</v>
      </c>
      <c r="E39" t="n">
        <v>231</v>
      </c>
      <c r="F39" t="inlineStr">
        <is>
          <t>West</t>
        </is>
      </c>
    </row>
    <row r="40">
      <c r="A40" t="inlineStr">
        <is>
          <t>T0039</t>
        </is>
      </c>
      <c r="B40" t="inlineStr">
        <is>
          <t>2024-07-19</t>
        </is>
      </c>
      <c r="C40" t="inlineStr">
        <is>
          <t>P032</t>
        </is>
      </c>
      <c r="D40" t="n">
        <v>1</v>
      </c>
      <c r="E40" t="n">
        <v>224</v>
      </c>
      <c r="F40" t="inlineStr">
        <is>
          <t>North</t>
        </is>
      </c>
    </row>
    <row r="41">
      <c r="A41" t="inlineStr">
        <is>
          <t>T0040</t>
        </is>
      </c>
      <c r="B41" t="inlineStr">
        <is>
          <t>2024-11-06</t>
        </is>
      </c>
      <c r="C41" t="inlineStr">
        <is>
          <t>P044</t>
        </is>
      </c>
      <c r="D41" t="n">
        <v>11</v>
      </c>
      <c r="E41" t="n">
        <v>82</v>
      </c>
      <c r="F41" t="inlineStr">
        <is>
          <t>South</t>
        </is>
      </c>
    </row>
    <row r="42">
      <c r="A42" t="inlineStr">
        <is>
          <t>T0041</t>
        </is>
      </c>
      <c r="B42" t="inlineStr">
        <is>
          <t>2024-07-02</t>
        </is>
      </c>
      <c r="C42" t="inlineStr">
        <is>
          <t>P020</t>
        </is>
      </c>
      <c r="D42" t="n">
        <v>20</v>
      </c>
      <c r="E42" t="n">
        <v>459</v>
      </c>
      <c r="F42" t="inlineStr">
        <is>
          <t>East</t>
        </is>
      </c>
    </row>
    <row r="43">
      <c r="A43" t="inlineStr">
        <is>
          <t>T0042</t>
        </is>
      </c>
      <c r="B43" t="inlineStr">
        <is>
          <t>2024-06-01</t>
        </is>
      </c>
      <c r="C43" t="inlineStr">
        <is>
          <t>P031</t>
        </is>
      </c>
      <c r="D43" t="n">
        <v>6</v>
      </c>
      <c r="E43" t="n">
        <v>202</v>
      </c>
      <c r="F43" t="inlineStr">
        <is>
          <t>South</t>
        </is>
      </c>
    </row>
    <row r="44">
      <c r="A44" t="inlineStr">
        <is>
          <t>T0043</t>
        </is>
      </c>
      <c r="B44" t="inlineStr">
        <is>
          <t>2024-02-24</t>
        </is>
      </c>
      <c r="C44" t="inlineStr">
        <is>
          <t>P012</t>
        </is>
      </c>
      <c r="D44" t="n">
        <v>11</v>
      </c>
      <c r="E44" t="n">
        <v>371</v>
      </c>
      <c r="F44" t="inlineStr">
        <is>
          <t>South</t>
        </is>
      </c>
    </row>
    <row r="45">
      <c r="A45" t="inlineStr">
        <is>
          <t>T0044</t>
        </is>
      </c>
      <c r="B45" t="inlineStr">
        <is>
          <t>2024-10-19</t>
        </is>
      </c>
      <c r="C45" t="inlineStr">
        <is>
          <t>P043</t>
        </is>
      </c>
      <c r="D45" t="n">
        <v>19</v>
      </c>
      <c r="E45" t="n">
        <v>393</v>
      </c>
      <c r="F45" t="inlineStr">
        <is>
          <t>South</t>
        </is>
      </c>
    </row>
    <row r="46">
      <c r="A46" t="inlineStr">
        <is>
          <t>T0045</t>
        </is>
      </c>
      <c r="B46" t="inlineStr">
        <is>
          <t>2024-06-18</t>
        </is>
      </c>
      <c r="C46" t="inlineStr">
        <is>
          <t>P007</t>
        </is>
      </c>
      <c r="D46" t="n">
        <v>20</v>
      </c>
      <c r="E46" t="n">
        <v>322</v>
      </c>
      <c r="F46" t="inlineStr">
        <is>
          <t>West</t>
        </is>
      </c>
    </row>
    <row r="47">
      <c r="A47" t="inlineStr">
        <is>
          <t>T0046</t>
        </is>
      </c>
      <c r="B47" t="inlineStr">
        <is>
          <t>2024-02-08</t>
        </is>
      </c>
      <c r="C47" t="inlineStr">
        <is>
          <t>P035</t>
        </is>
      </c>
      <c r="D47" t="n">
        <v>19</v>
      </c>
      <c r="E47" t="n">
        <v>200</v>
      </c>
      <c r="F47" t="inlineStr">
        <is>
          <t>West</t>
        </is>
      </c>
    </row>
    <row r="48">
      <c r="A48" t="inlineStr">
        <is>
          <t>T0047</t>
        </is>
      </c>
      <c r="B48" t="inlineStr">
        <is>
          <t>2024-07-28</t>
        </is>
      </c>
      <c r="C48" t="inlineStr">
        <is>
          <t>P031</t>
        </is>
      </c>
      <c r="D48" t="n">
        <v>12</v>
      </c>
      <c r="E48" t="n">
        <v>93</v>
      </c>
      <c r="F48" t="inlineStr">
        <is>
          <t>South</t>
        </is>
      </c>
    </row>
    <row r="49">
      <c r="A49" t="inlineStr">
        <is>
          <t>T0048</t>
        </is>
      </c>
      <c r="B49" t="inlineStr">
        <is>
          <t>2024-09-24</t>
        </is>
      </c>
      <c r="C49" t="inlineStr">
        <is>
          <t>P019</t>
        </is>
      </c>
      <c r="D49" t="n">
        <v>5</v>
      </c>
      <c r="E49" t="n">
        <v>131</v>
      </c>
      <c r="F49" t="inlineStr">
        <is>
          <t>South</t>
        </is>
      </c>
    </row>
    <row r="50">
      <c r="A50" t="inlineStr">
        <is>
          <t>T0049</t>
        </is>
      </c>
      <c r="B50" t="inlineStr">
        <is>
          <t>2024-06-25</t>
        </is>
      </c>
      <c r="C50" t="inlineStr">
        <is>
          <t>P013</t>
        </is>
      </c>
      <c r="D50" t="n">
        <v>19</v>
      </c>
      <c r="E50" t="n">
        <v>341</v>
      </c>
      <c r="F50" t="inlineStr">
        <is>
          <t>East</t>
        </is>
      </c>
    </row>
    <row r="51">
      <c r="A51" t="inlineStr">
        <is>
          <t>T0050</t>
        </is>
      </c>
      <c r="B51" t="inlineStr">
        <is>
          <t>2024-03-12</t>
        </is>
      </c>
      <c r="C51" t="inlineStr">
        <is>
          <t>P002</t>
        </is>
      </c>
      <c r="D51" t="n">
        <v>16</v>
      </c>
      <c r="E51" t="n">
        <v>422</v>
      </c>
      <c r="F51" t="inlineStr">
        <is>
          <t>South</t>
        </is>
      </c>
    </row>
    <row r="52">
      <c r="A52" t="inlineStr">
        <is>
          <t>T0051</t>
        </is>
      </c>
      <c r="B52" t="inlineStr">
        <is>
          <t>2024-04-03</t>
        </is>
      </c>
      <c r="C52" t="inlineStr">
        <is>
          <t>P017</t>
        </is>
      </c>
      <c r="D52" t="n">
        <v>1</v>
      </c>
      <c r="E52" t="n">
        <v>186</v>
      </c>
      <c r="F52" t="inlineStr">
        <is>
          <t>East</t>
        </is>
      </c>
    </row>
    <row r="53">
      <c r="A53" t="inlineStr">
        <is>
          <t>T0052</t>
        </is>
      </c>
      <c r="B53" t="inlineStr">
        <is>
          <t>2024-08-16</t>
        </is>
      </c>
      <c r="C53" t="inlineStr">
        <is>
          <t>P023</t>
        </is>
      </c>
      <c r="D53" t="n">
        <v>17</v>
      </c>
      <c r="E53" t="n">
        <v>67</v>
      </c>
      <c r="F53" t="inlineStr">
        <is>
          <t>South</t>
        </is>
      </c>
    </row>
    <row r="54">
      <c r="A54" t="inlineStr">
        <is>
          <t>T0053</t>
        </is>
      </c>
      <c r="B54" t="inlineStr">
        <is>
          <t>2024-03-30</t>
        </is>
      </c>
      <c r="C54" t="inlineStr">
        <is>
          <t>P029</t>
        </is>
      </c>
      <c r="D54" t="n">
        <v>4</v>
      </c>
      <c r="E54" t="n">
        <v>494</v>
      </c>
      <c r="F54" t="inlineStr">
        <is>
          <t>South</t>
        </is>
      </c>
    </row>
    <row r="55">
      <c r="A55" t="inlineStr">
        <is>
          <t>T0054</t>
        </is>
      </c>
      <c r="B55" t="inlineStr">
        <is>
          <t>2024-04-02</t>
        </is>
      </c>
      <c r="C55" t="inlineStr">
        <is>
          <t>P002</t>
        </is>
      </c>
      <c r="D55" t="n">
        <v>14</v>
      </c>
      <c r="E55" t="n">
        <v>229</v>
      </c>
      <c r="F55" t="inlineStr">
        <is>
          <t>South</t>
        </is>
      </c>
    </row>
    <row r="56">
      <c r="A56" t="inlineStr">
        <is>
          <t>T0055</t>
        </is>
      </c>
      <c r="B56" t="inlineStr">
        <is>
          <t>2024-04-28</t>
        </is>
      </c>
      <c r="C56" t="inlineStr">
        <is>
          <t>P034</t>
        </is>
      </c>
      <c r="D56" t="n">
        <v>10</v>
      </c>
      <c r="E56" t="n">
        <v>259</v>
      </c>
      <c r="F56" t="inlineStr">
        <is>
          <t>East</t>
        </is>
      </c>
    </row>
    <row r="57">
      <c r="A57" t="inlineStr">
        <is>
          <t>T0056</t>
        </is>
      </c>
      <c r="B57" t="inlineStr">
        <is>
          <t>2024-08-15</t>
        </is>
      </c>
      <c r="C57" t="inlineStr">
        <is>
          <t>P006</t>
        </is>
      </c>
      <c r="D57" t="n">
        <v>1</v>
      </c>
      <c r="E57" t="n">
        <v>486</v>
      </c>
      <c r="F57" t="inlineStr">
        <is>
          <t>West</t>
        </is>
      </c>
    </row>
    <row r="58">
      <c r="A58" t="inlineStr">
        <is>
          <t>T0057</t>
        </is>
      </c>
      <c r="B58" t="inlineStr">
        <is>
          <t>2024-03-15</t>
        </is>
      </c>
      <c r="C58" t="inlineStr">
        <is>
          <t>P007</t>
        </is>
      </c>
      <c r="D58" t="n">
        <v>20</v>
      </c>
      <c r="E58" t="n">
        <v>87</v>
      </c>
      <c r="F58" t="inlineStr">
        <is>
          <t>West</t>
        </is>
      </c>
    </row>
    <row r="59">
      <c r="A59" t="inlineStr">
        <is>
          <t>T0058</t>
        </is>
      </c>
      <c r="B59" t="inlineStr">
        <is>
          <t>2024-02-24</t>
        </is>
      </c>
      <c r="C59" t="inlineStr">
        <is>
          <t>P026</t>
        </is>
      </c>
      <c r="D59" t="n">
        <v>4</v>
      </c>
      <c r="E59" t="n">
        <v>244</v>
      </c>
      <c r="F59" t="inlineStr">
        <is>
          <t>West</t>
        </is>
      </c>
    </row>
    <row r="60">
      <c r="A60" t="inlineStr">
        <is>
          <t>T0059</t>
        </is>
      </c>
      <c r="B60" t="inlineStr">
        <is>
          <t>2024-01-13</t>
        </is>
      </c>
      <c r="C60" t="inlineStr">
        <is>
          <t>P002</t>
        </is>
      </c>
      <c r="D60" t="n">
        <v>2</v>
      </c>
      <c r="E60" t="n">
        <v>349</v>
      </c>
      <c r="F60" t="inlineStr">
        <is>
          <t>East</t>
        </is>
      </c>
    </row>
    <row r="61">
      <c r="A61" t="inlineStr">
        <is>
          <t>T0060</t>
        </is>
      </c>
      <c r="B61" t="inlineStr">
        <is>
          <t>2024-09-29</t>
        </is>
      </c>
      <c r="C61" t="inlineStr">
        <is>
          <t>P050</t>
        </is>
      </c>
      <c r="D61" t="n">
        <v>1</v>
      </c>
      <c r="E61" t="n">
        <v>94</v>
      </c>
      <c r="F61" t="inlineStr">
        <is>
          <t>North</t>
        </is>
      </c>
    </row>
    <row r="62">
      <c r="A62" t="inlineStr">
        <is>
          <t>T0061</t>
        </is>
      </c>
      <c r="B62" t="inlineStr">
        <is>
          <t>2024-01-21</t>
        </is>
      </c>
      <c r="C62" t="inlineStr">
        <is>
          <t>P025</t>
        </is>
      </c>
      <c r="D62" t="n">
        <v>12</v>
      </c>
      <c r="E62" t="n">
        <v>414</v>
      </c>
      <c r="F62" t="inlineStr">
        <is>
          <t>East</t>
        </is>
      </c>
    </row>
    <row r="63">
      <c r="A63" t="inlineStr">
        <is>
          <t>T0062</t>
        </is>
      </c>
      <c r="B63" t="inlineStr">
        <is>
          <t>2024-09-09</t>
        </is>
      </c>
      <c r="C63" t="inlineStr">
        <is>
          <t>P023</t>
        </is>
      </c>
      <c r="D63" t="n">
        <v>13</v>
      </c>
      <c r="E63" t="n">
        <v>144</v>
      </c>
      <c r="F63" t="inlineStr">
        <is>
          <t>East</t>
        </is>
      </c>
    </row>
    <row r="64">
      <c r="A64" t="inlineStr">
        <is>
          <t>T0063</t>
        </is>
      </c>
      <c r="B64" t="inlineStr">
        <is>
          <t>2024-01-13</t>
        </is>
      </c>
      <c r="C64" t="inlineStr">
        <is>
          <t>P045</t>
        </is>
      </c>
      <c r="D64" t="n">
        <v>7</v>
      </c>
      <c r="E64" t="n">
        <v>355</v>
      </c>
      <c r="F64" t="inlineStr">
        <is>
          <t>North</t>
        </is>
      </c>
    </row>
    <row r="65">
      <c r="A65" t="inlineStr">
        <is>
          <t>T0064</t>
        </is>
      </c>
      <c r="B65" t="inlineStr">
        <is>
          <t>2024-11-09</t>
        </is>
      </c>
      <c r="C65" t="inlineStr">
        <is>
          <t>P030</t>
        </is>
      </c>
      <c r="D65" t="n">
        <v>6</v>
      </c>
      <c r="E65" t="n">
        <v>448</v>
      </c>
      <c r="F65" t="inlineStr">
        <is>
          <t>West</t>
        </is>
      </c>
    </row>
    <row r="66">
      <c r="A66" t="inlineStr">
        <is>
          <t>T0065</t>
        </is>
      </c>
      <c r="B66" t="inlineStr">
        <is>
          <t>2024-04-07</t>
        </is>
      </c>
      <c r="C66" t="inlineStr">
        <is>
          <t>P044</t>
        </is>
      </c>
      <c r="D66" t="n">
        <v>7</v>
      </c>
      <c r="E66" t="n">
        <v>143</v>
      </c>
      <c r="F66" t="inlineStr">
        <is>
          <t>South</t>
        </is>
      </c>
    </row>
    <row r="67">
      <c r="A67" t="inlineStr">
        <is>
          <t>T0066</t>
        </is>
      </c>
      <c r="B67" t="inlineStr">
        <is>
          <t>2024-05-12</t>
        </is>
      </c>
      <c r="C67" t="inlineStr">
        <is>
          <t>P033</t>
        </is>
      </c>
      <c r="D67" t="n">
        <v>11</v>
      </c>
      <c r="E67" t="n">
        <v>493</v>
      </c>
      <c r="F67" t="inlineStr">
        <is>
          <t>North</t>
        </is>
      </c>
    </row>
    <row r="68">
      <c r="A68" t="inlineStr">
        <is>
          <t>T0067</t>
        </is>
      </c>
      <c r="B68" t="inlineStr">
        <is>
          <t>2024-07-05</t>
        </is>
      </c>
      <c r="C68" t="inlineStr">
        <is>
          <t>P006</t>
        </is>
      </c>
      <c r="D68" t="n">
        <v>2</v>
      </c>
      <c r="E68" t="n">
        <v>54</v>
      </c>
      <c r="F68" t="inlineStr">
        <is>
          <t>South</t>
        </is>
      </c>
    </row>
    <row r="69">
      <c r="A69" t="inlineStr">
        <is>
          <t>T0068</t>
        </is>
      </c>
      <c r="B69" t="inlineStr">
        <is>
          <t>2024-01-04</t>
        </is>
      </c>
      <c r="C69" t="inlineStr">
        <is>
          <t>P029</t>
        </is>
      </c>
      <c r="D69" t="n">
        <v>9</v>
      </c>
      <c r="E69" t="n">
        <v>306</v>
      </c>
      <c r="F69" t="inlineStr">
        <is>
          <t>South</t>
        </is>
      </c>
    </row>
    <row r="70">
      <c r="A70" t="inlineStr">
        <is>
          <t>T0069</t>
        </is>
      </c>
      <c r="B70" t="inlineStr">
        <is>
          <t>2024-04-07</t>
        </is>
      </c>
      <c r="C70" t="inlineStr">
        <is>
          <t>P011</t>
        </is>
      </c>
      <c r="D70" t="n">
        <v>12</v>
      </c>
      <c r="E70" t="n">
        <v>92</v>
      </c>
      <c r="F70" t="inlineStr">
        <is>
          <t>North</t>
        </is>
      </c>
    </row>
    <row r="71">
      <c r="A71" t="inlineStr">
        <is>
          <t>T0070</t>
        </is>
      </c>
      <c r="B71" t="inlineStr">
        <is>
          <t>2024-01-21</t>
        </is>
      </c>
      <c r="C71" t="inlineStr">
        <is>
          <t>P006</t>
        </is>
      </c>
      <c r="D71" t="n">
        <v>17</v>
      </c>
      <c r="E71" t="n">
        <v>382</v>
      </c>
      <c r="F71" t="inlineStr">
        <is>
          <t>East</t>
        </is>
      </c>
    </row>
    <row r="72">
      <c r="A72" t="inlineStr">
        <is>
          <t>T0071</t>
        </is>
      </c>
      <c r="B72" t="inlineStr">
        <is>
          <t>2024-06-23</t>
        </is>
      </c>
      <c r="C72" t="inlineStr">
        <is>
          <t>P050</t>
        </is>
      </c>
      <c r="D72" t="n">
        <v>1</v>
      </c>
      <c r="E72" t="n">
        <v>361</v>
      </c>
      <c r="F72" t="inlineStr">
        <is>
          <t>North</t>
        </is>
      </c>
    </row>
    <row r="73">
      <c r="A73" t="inlineStr">
        <is>
          <t>T0072</t>
        </is>
      </c>
      <c r="B73" t="inlineStr">
        <is>
          <t>2024-10-11</t>
        </is>
      </c>
      <c r="C73" t="inlineStr">
        <is>
          <t>P026</t>
        </is>
      </c>
      <c r="D73" t="n">
        <v>4</v>
      </c>
      <c r="E73" t="n">
        <v>189</v>
      </c>
      <c r="F73" t="inlineStr">
        <is>
          <t>West</t>
        </is>
      </c>
    </row>
    <row r="74">
      <c r="A74" t="inlineStr">
        <is>
          <t>T0073</t>
        </is>
      </c>
      <c r="B74" t="inlineStr">
        <is>
          <t>2024-11-23</t>
        </is>
      </c>
      <c r="C74" t="inlineStr">
        <is>
          <t>P011</t>
        </is>
      </c>
      <c r="D74" t="n">
        <v>12</v>
      </c>
      <c r="E74" t="n">
        <v>305</v>
      </c>
      <c r="F74" t="inlineStr">
        <is>
          <t>West</t>
        </is>
      </c>
    </row>
    <row r="75">
      <c r="A75" t="inlineStr">
        <is>
          <t>T0074</t>
        </is>
      </c>
      <c r="B75" t="inlineStr">
        <is>
          <t>2024-04-17</t>
        </is>
      </c>
      <c r="C75" t="inlineStr">
        <is>
          <t>P022</t>
        </is>
      </c>
      <c r="D75" t="n">
        <v>19</v>
      </c>
      <c r="E75" t="n">
        <v>355</v>
      </c>
      <c r="F75" t="inlineStr">
        <is>
          <t>North</t>
        </is>
      </c>
    </row>
    <row r="76">
      <c r="A76" t="inlineStr">
        <is>
          <t>T0075</t>
        </is>
      </c>
      <c r="B76" t="inlineStr">
        <is>
          <t>2024-12-03</t>
        </is>
      </c>
      <c r="C76" t="inlineStr">
        <is>
          <t>P039</t>
        </is>
      </c>
      <c r="D76" t="n">
        <v>18</v>
      </c>
      <c r="E76" t="n">
        <v>52</v>
      </c>
      <c r="F76" t="inlineStr">
        <is>
          <t>North</t>
        </is>
      </c>
    </row>
    <row r="77">
      <c r="A77" t="inlineStr">
        <is>
          <t>T0076</t>
        </is>
      </c>
      <c r="B77" t="inlineStr">
        <is>
          <t>2024-05-22</t>
        </is>
      </c>
      <c r="C77" t="inlineStr">
        <is>
          <t>P044</t>
        </is>
      </c>
      <c r="D77" t="n">
        <v>13</v>
      </c>
      <c r="E77" t="n">
        <v>283</v>
      </c>
      <c r="F77" t="inlineStr">
        <is>
          <t>East</t>
        </is>
      </c>
    </row>
    <row r="78">
      <c r="A78" t="inlineStr">
        <is>
          <t>T0077</t>
        </is>
      </c>
      <c r="B78" t="inlineStr">
        <is>
          <t>2024-08-19</t>
        </is>
      </c>
      <c r="C78" t="inlineStr">
        <is>
          <t>P011</t>
        </is>
      </c>
      <c r="D78" t="n">
        <v>5</v>
      </c>
      <c r="E78" t="n">
        <v>251</v>
      </c>
      <c r="F78" t="inlineStr">
        <is>
          <t>West</t>
        </is>
      </c>
    </row>
    <row r="79">
      <c r="A79" t="inlineStr">
        <is>
          <t>T0078</t>
        </is>
      </c>
      <c r="B79" t="inlineStr">
        <is>
          <t>2024-10-14</t>
        </is>
      </c>
      <c r="C79" t="inlineStr">
        <is>
          <t>P002</t>
        </is>
      </c>
      <c r="D79" t="n">
        <v>2</v>
      </c>
      <c r="E79" t="n">
        <v>461</v>
      </c>
      <c r="F79" t="inlineStr">
        <is>
          <t>East</t>
        </is>
      </c>
    </row>
    <row r="80">
      <c r="A80" t="inlineStr">
        <is>
          <t>T0079</t>
        </is>
      </c>
      <c r="B80" t="inlineStr">
        <is>
          <t>2024-11-20</t>
        </is>
      </c>
      <c r="C80" t="inlineStr">
        <is>
          <t>P036</t>
        </is>
      </c>
      <c r="D80" t="n">
        <v>14</v>
      </c>
      <c r="E80" t="n">
        <v>207</v>
      </c>
      <c r="F80" t="inlineStr">
        <is>
          <t>North</t>
        </is>
      </c>
    </row>
    <row r="81">
      <c r="A81" t="inlineStr">
        <is>
          <t>T0080</t>
        </is>
      </c>
      <c r="B81" t="inlineStr">
        <is>
          <t>2024-03-19</t>
        </is>
      </c>
      <c r="C81" t="inlineStr">
        <is>
          <t>P020</t>
        </is>
      </c>
      <c r="D81" t="n">
        <v>1</v>
      </c>
      <c r="E81" t="n">
        <v>292</v>
      </c>
      <c r="F81" t="inlineStr">
        <is>
          <t>South</t>
        </is>
      </c>
    </row>
    <row r="82">
      <c r="A82" t="inlineStr">
        <is>
          <t>T0081</t>
        </is>
      </c>
      <c r="B82" t="inlineStr">
        <is>
          <t>2024-05-23</t>
        </is>
      </c>
      <c r="C82" t="inlineStr">
        <is>
          <t>P045</t>
        </is>
      </c>
      <c r="D82" t="n">
        <v>20</v>
      </c>
      <c r="E82" t="n">
        <v>330</v>
      </c>
      <c r="F82" t="inlineStr">
        <is>
          <t>South</t>
        </is>
      </c>
    </row>
    <row r="83">
      <c r="A83" t="inlineStr">
        <is>
          <t>T0082</t>
        </is>
      </c>
      <c r="B83" t="inlineStr">
        <is>
          <t>2024-05-18</t>
        </is>
      </c>
      <c r="C83" t="inlineStr">
        <is>
          <t>P042</t>
        </is>
      </c>
      <c r="D83" t="n">
        <v>13</v>
      </c>
      <c r="E83" t="n">
        <v>474</v>
      </c>
      <c r="F83" t="inlineStr">
        <is>
          <t>West</t>
        </is>
      </c>
    </row>
    <row r="84">
      <c r="A84" t="inlineStr">
        <is>
          <t>T0083</t>
        </is>
      </c>
      <c r="B84" t="inlineStr">
        <is>
          <t>2024-08-03</t>
        </is>
      </c>
      <c r="C84" t="inlineStr">
        <is>
          <t>P048</t>
        </is>
      </c>
      <c r="D84" t="n">
        <v>11</v>
      </c>
      <c r="E84" t="n">
        <v>451</v>
      </c>
      <c r="F84" t="inlineStr">
        <is>
          <t>South</t>
        </is>
      </c>
    </row>
    <row r="85">
      <c r="A85" t="inlineStr">
        <is>
          <t>T0084</t>
        </is>
      </c>
      <c r="B85" t="inlineStr">
        <is>
          <t>2024-05-21</t>
        </is>
      </c>
      <c r="C85" t="inlineStr">
        <is>
          <t>P039</t>
        </is>
      </c>
      <c r="D85" t="n">
        <v>9</v>
      </c>
      <c r="E85" t="n">
        <v>288</v>
      </c>
      <c r="F85" t="inlineStr">
        <is>
          <t>North</t>
        </is>
      </c>
    </row>
    <row r="86">
      <c r="A86" t="inlineStr">
        <is>
          <t>T0085</t>
        </is>
      </c>
      <c r="B86" t="inlineStr">
        <is>
          <t>2024-01-15</t>
        </is>
      </c>
      <c r="C86" t="inlineStr">
        <is>
          <t>P014</t>
        </is>
      </c>
      <c r="D86" t="n">
        <v>16</v>
      </c>
      <c r="E86" t="n">
        <v>316</v>
      </c>
      <c r="F86" t="inlineStr">
        <is>
          <t>West</t>
        </is>
      </c>
    </row>
    <row r="87">
      <c r="A87" t="inlineStr">
        <is>
          <t>T0086</t>
        </is>
      </c>
      <c r="B87" t="inlineStr">
        <is>
          <t>2024-04-21</t>
        </is>
      </c>
      <c r="C87" t="inlineStr">
        <is>
          <t>P015</t>
        </is>
      </c>
      <c r="D87" t="n">
        <v>10</v>
      </c>
      <c r="E87" t="n">
        <v>289</v>
      </c>
      <c r="F87" t="inlineStr">
        <is>
          <t>South</t>
        </is>
      </c>
    </row>
    <row r="88">
      <c r="A88" t="inlineStr">
        <is>
          <t>T0087</t>
        </is>
      </c>
      <c r="B88" t="inlineStr">
        <is>
          <t>2024-08-01</t>
        </is>
      </c>
      <c r="C88" t="inlineStr">
        <is>
          <t>P045</t>
        </is>
      </c>
      <c r="D88" t="n">
        <v>18</v>
      </c>
      <c r="E88" t="n">
        <v>153</v>
      </c>
      <c r="F88" t="inlineStr">
        <is>
          <t>North</t>
        </is>
      </c>
    </row>
    <row r="89">
      <c r="A89" t="inlineStr">
        <is>
          <t>T0088</t>
        </is>
      </c>
      <c r="B89" t="inlineStr">
        <is>
          <t>2024-01-07</t>
        </is>
      </c>
      <c r="C89" t="inlineStr">
        <is>
          <t>P001</t>
        </is>
      </c>
      <c r="D89" t="n">
        <v>9</v>
      </c>
      <c r="E89" t="n">
        <v>263</v>
      </c>
      <c r="F89" t="inlineStr">
        <is>
          <t>East</t>
        </is>
      </c>
    </row>
    <row r="90">
      <c r="A90" t="inlineStr">
        <is>
          <t>T0089</t>
        </is>
      </c>
      <c r="B90" t="inlineStr">
        <is>
          <t>2024-02-27</t>
        </is>
      </c>
      <c r="C90" t="inlineStr">
        <is>
          <t>P023</t>
        </is>
      </c>
      <c r="D90" t="n">
        <v>11</v>
      </c>
      <c r="E90" t="n">
        <v>381</v>
      </c>
      <c r="F90" t="inlineStr">
        <is>
          <t>East</t>
        </is>
      </c>
    </row>
    <row r="91">
      <c r="A91" t="inlineStr">
        <is>
          <t>T0090</t>
        </is>
      </c>
      <c r="B91" t="inlineStr">
        <is>
          <t>2024-06-09</t>
        </is>
      </c>
      <c r="C91" t="inlineStr">
        <is>
          <t>P002</t>
        </is>
      </c>
      <c r="D91" t="n">
        <v>13</v>
      </c>
      <c r="E91" t="n">
        <v>442</v>
      </c>
      <c r="F91" t="inlineStr">
        <is>
          <t>West</t>
        </is>
      </c>
    </row>
    <row r="92">
      <c r="A92" t="inlineStr">
        <is>
          <t>T0091</t>
        </is>
      </c>
      <c r="B92" t="inlineStr">
        <is>
          <t>2024-09-18</t>
        </is>
      </c>
      <c r="C92" t="inlineStr">
        <is>
          <t>P024</t>
        </is>
      </c>
      <c r="D92" t="n">
        <v>19</v>
      </c>
      <c r="E92" t="n">
        <v>152</v>
      </c>
      <c r="F92" t="inlineStr">
        <is>
          <t>East</t>
        </is>
      </c>
    </row>
    <row r="93">
      <c r="A93" t="inlineStr">
        <is>
          <t>T0092</t>
        </is>
      </c>
      <c r="B93" t="inlineStr">
        <is>
          <t>2024-08-16</t>
        </is>
      </c>
      <c r="C93" t="inlineStr">
        <is>
          <t>P029</t>
        </is>
      </c>
      <c r="D93" t="n">
        <v>12</v>
      </c>
      <c r="E93" t="n">
        <v>92</v>
      </c>
      <c r="F93" t="inlineStr">
        <is>
          <t>East</t>
        </is>
      </c>
    </row>
    <row r="94">
      <c r="A94" t="inlineStr">
        <is>
          <t>T0093</t>
        </is>
      </c>
      <c r="B94" t="inlineStr">
        <is>
          <t>2024-09-06</t>
        </is>
      </c>
      <c r="C94" t="inlineStr">
        <is>
          <t>P013</t>
        </is>
      </c>
      <c r="D94" t="n">
        <v>16</v>
      </c>
      <c r="E94" t="n">
        <v>113</v>
      </c>
      <c r="F94" t="inlineStr">
        <is>
          <t>West</t>
        </is>
      </c>
    </row>
    <row r="95">
      <c r="A95" t="inlineStr">
        <is>
          <t>T0094</t>
        </is>
      </c>
      <c r="B95" t="inlineStr">
        <is>
          <t>2024-01-21</t>
        </is>
      </c>
      <c r="C95" t="inlineStr">
        <is>
          <t>P033</t>
        </is>
      </c>
      <c r="D95" t="n">
        <v>2</v>
      </c>
      <c r="E95" t="n">
        <v>251</v>
      </c>
      <c r="F95" t="inlineStr">
        <is>
          <t>East</t>
        </is>
      </c>
    </row>
    <row r="96">
      <c r="A96" t="inlineStr">
        <is>
          <t>T0095</t>
        </is>
      </c>
      <c r="B96" t="inlineStr">
        <is>
          <t>2024-01-02</t>
        </is>
      </c>
      <c r="C96" t="inlineStr">
        <is>
          <t>P012</t>
        </is>
      </c>
      <c r="D96" t="n">
        <v>15</v>
      </c>
      <c r="E96" t="n">
        <v>326</v>
      </c>
      <c r="F96" t="inlineStr">
        <is>
          <t>North</t>
        </is>
      </c>
    </row>
    <row r="97">
      <c r="A97" t="inlineStr">
        <is>
          <t>T0096</t>
        </is>
      </c>
      <c r="B97" t="inlineStr">
        <is>
          <t>2024-04-12</t>
        </is>
      </c>
      <c r="C97" t="inlineStr">
        <is>
          <t>P043</t>
        </is>
      </c>
      <c r="D97" t="n">
        <v>6</v>
      </c>
      <c r="E97" t="n">
        <v>250</v>
      </c>
      <c r="F97" t="inlineStr">
        <is>
          <t>East</t>
        </is>
      </c>
    </row>
    <row r="98">
      <c r="A98" t="inlineStr">
        <is>
          <t>T0097</t>
        </is>
      </c>
      <c r="B98" t="inlineStr">
        <is>
          <t>2024-04-04</t>
        </is>
      </c>
      <c r="C98" t="inlineStr">
        <is>
          <t>P002</t>
        </is>
      </c>
      <c r="D98" t="n">
        <v>10</v>
      </c>
      <c r="E98" t="n">
        <v>412</v>
      </c>
      <c r="F98" t="inlineStr">
        <is>
          <t>North</t>
        </is>
      </c>
    </row>
    <row r="99">
      <c r="A99" t="inlineStr">
        <is>
          <t>T0098</t>
        </is>
      </c>
      <c r="B99" t="inlineStr">
        <is>
          <t>2024-10-26</t>
        </is>
      </c>
      <c r="C99" t="inlineStr">
        <is>
          <t>P006</t>
        </is>
      </c>
      <c r="D99" t="n">
        <v>19</v>
      </c>
      <c r="E99" t="n">
        <v>121</v>
      </c>
      <c r="F99" t="inlineStr">
        <is>
          <t>South</t>
        </is>
      </c>
    </row>
    <row r="100">
      <c r="A100" t="inlineStr">
        <is>
          <t>T0099</t>
        </is>
      </c>
      <c r="B100" t="inlineStr">
        <is>
          <t>2024-09-16</t>
        </is>
      </c>
      <c r="C100" t="inlineStr">
        <is>
          <t>P030</t>
        </is>
      </c>
      <c r="D100" t="n">
        <v>12</v>
      </c>
      <c r="E100" t="n">
        <v>64</v>
      </c>
      <c r="F100" t="inlineStr">
        <is>
          <t>South</t>
        </is>
      </c>
    </row>
    <row r="101">
      <c r="A101" t="inlineStr">
        <is>
          <t>T0100</t>
        </is>
      </c>
      <c r="B101" t="inlineStr">
        <is>
          <t>2024-08-30</t>
        </is>
      </c>
      <c r="C101" t="inlineStr">
        <is>
          <t>P028</t>
        </is>
      </c>
      <c r="D101" t="n">
        <v>10</v>
      </c>
      <c r="E101" t="n">
        <v>378</v>
      </c>
      <c r="F101" t="inlineStr">
        <is>
          <t>East</t>
        </is>
      </c>
    </row>
    <row r="102">
      <c r="A102" t="inlineStr">
        <is>
          <t>T0101</t>
        </is>
      </c>
      <c r="B102" t="inlineStr">
        <is>
          <t>2024-11-29</t>
        </is>
      </c>
      <c r="C102" t="inlineStr">
        <is>
          <t>P025</t>
        </is>
      </c>
      <c r="D102" t="n">
        <v>1</v>
      </c>
      <c r="E102" t="n">
        <v>133</v>
      </c>
      <c r="F102" t="inlineStr">
        <is>
          <t>South</t>
        </is>
      </c>
    </row>
    <row r="103">
      <c r="A103" t="inlineStr">
        <is>
          <t>T0102</t>
        </is>
      </c>
      <c r="B103" t="inlineStr">
        <is>
          <t>2024-07-10</t>
        </is>
      </c>
      <c r="C103" t="inlineStr">
        <is>
          <t>P047</t>
        </is>
      </c>
      <c r="D103" t="n">
        <v>13</v>
      </c>
      <c r="E103" t="n">
        <v>466</v>
      </c>
      <c r="F103" t="inlineStr">
        <is>
          <t>West</t>
        </is>
      </c>
    </row>
    <row r="104">
      <c r="A104" t="inlineStr">
        <is>
          <t>T0103</t>
        </is>
      </c>
      <c r="B104" t="inlineStr">
        <is>
          <t>2024-03-02</t>
        </is>
      </c>
      <c r="C104" t="inlineStr">
        <is>
          <t>P003</t>
        </is>
      </c>
      <c r="D104" t="n">
        <v>20</v>
      </c>
      <c r="E104" t="n">
        <v>357</v>
      </c>
      <c r="F104" t="inlineStr">
        <is>
          <t>South</t>
        </is>
      </c>
    </row>
    <row r="105">
      <c r="A105" t="inlineStr">
        <is>
          <t>T0104</t>
        </is>
      </c>
      <c r="B105" t="inlineStr">
        <is>
          <t>2024-04-08</t>
        </is>
      </c>
      <c r="C105" t="inlineStr">
        <is>
          <t>P004</t>
        </is>
      </c>
      <c r="D105" t="n">
        <v>7</v>
      </c>
      <c r="E105" t="n">
        <v>468</v>
      </c>
      <c r="F105" t="inlineStr">
        <is>
          <t>West</t>
        </is>
      </c>
    </row>
    <row r="106">
      <c r="A106" t="inlineStr">
        <is>
          <t>T0105</t>
        </is>
      </c>
      <c r="B106" t="inlineStr">
        <is>
          <t>2024-09-13</t>
        </is>
      </c>
      <c r="C106" t="inlineStr">
        <is>
          <t>P036</t>
        </is>
      </c>
      <c r="D106" t="n">
        <v>17</v>
      </c>
      <c r="E106" t="n">
        <v>190</v>
      </c>
      <c r="F106" t="inlineStr">
        <is>
          <t>West</t>
        </is>
      </c>
    </row>
    <row r="107">
      <c r="A107" t="inlineStr">
        <is>
          <t>T0106</t>
        </is>
      </c>
      <c r="B107" t="inlineStr">
        <is>
          <t>2024-04-19</t>
        </is>
      </c>
      <c r="C107" t="inlineStr">
        <is>
          <t>P030</t>
        </is>
      </c>
      <c r="D107" t="n">
        <v>17</v>
      </c>
      <c r="E107" t="n">
        <v>148</v>
      </c>
      <c r="F107" t="inlineStr">
        <is>
          <t>West</t>
        </is>
      </c>
    </row>
    <row r="108">
      <c r="A108" t="inlineStr">
        <is>
          <t>T0107</t>
        </is>
      </c>
      <c r="B108" t="inlineStr">
        <is>
          <t>2024-07-19</t>
        </is>
      </c>
      <c r="C108" t="inlineStr">
        <is>
          <t>P010</t>
        </is>
      </c>
      <c r="D108" t="n">
        <v>15</v>
      </c>
      <c r="E108" t="n">
        <v>467</v>
      </c>
      <c r="F108" t="inlineStr">
        <is>
          <t>South</t>
        </is>
      </c>
    </row>
    <row r="109">
      <c r="A109" t="inlineStr">
        <is>
          <t>T0108</t>
        </is>
      </c>
      <c r="B109" t="inlineStr">
        <is>
          <t>2024-06-09</t>
        </is>
      </c>
      <c r="C109" t="inlineStr">
        <is>
          <t>P005</t>
        </is>
      </c>
      <c r="D109" t="n">
        <v>18</v>
      </c>
      <c r="E109" t="n">
        <v>396</v>
      </c>
      <c r="F109" t="inlineStr">
        <is>
          <t>South</t>
        </is>
      </c>
    </row>
    <row r="110">
      <c r="A110" t="inlineStr">
        <is>
          <t>T0109</t>
        </is>
      </c>
      <c r="B110" t="inlineStr">
        <is>
          <t>2024-11-05</t>
        </is>
      </c>
      <c r="C110" t="inlineStr">
        <is>
          <t>P039</t>
        </is>
      </c>
      <c r="D110" t="n">
        <v>9</v>
      </c>
      <c r="E110" t="n">
        <v>372</v>
      </c>
      <c r="F110" t="inlineStr">
        <is>
          <t>East</t>
        </is>
      </c>
    </row>
    <row r="111">
      <c r="A111" t="inlineStr">
        <is>
          <t>T0110</t>
        </is>
      </c>
      <c r="B111" t="inlineStr">
        <is>
          <t>2024-03-04</t>
        </is>
      </c>
      <c r="C111" t="inlineStr">
        <is>
          <t>P038</t>
        </is>
      </c>
      <c r="D111" t="n">
        <v>17</v>
      </c>
      <c r="E111" t="n">
        <v>180</v>
      </c>
      <c r="F111" t="inlineStr">
        <is>
          <t>East</t>
        </is>
      </c>
    </row>
    <row r="112">
      <c r="A112" t="inlineStr">
        <is>
          <t>T0111</t>
        </is>
      </c>
      <c r="B112" t="inlineStr">
        <is>
          <t>2024-10-22</t>
        </is>
      </c>
      <c r="C112" t="inlineStr">
        <is>
          <t>P030</t>
        </is>
      </c>
      <c r="D112" t="n">
        <v>4</v>
      </c>
      <c r="E112" t="n">
        <v>442</v>
      </c>
      <c r="F112" t="inlineStr">
        <is>
          <t>South</t>
        </is>
      </c>
    </row>
    <row r="113">
      <c r="A113" t="inlineStr">
        <is>
          <t>T0112</t>
        </is>
      </c>
      <c r="B113" t="inlineStr">
        <is>
          <t>2024-04-05</t>
        </is>
      </c>
      <c r="C113" t="inlineStr">
        <is>
          <t>P046</t>
        </is>
      </c>
      <c r="D113" t="n">
        <v>16</v>
      </c>
      <c r="E113" t="n">
        <v>454</v>
      </c>
      <c r="F113" t="inlineStr">
        <is>
          <t>West</t>
        </is>
      </c>
    </row>
    <row r="114">
      <c r="A114" t="inlineStr">
        <is>
          <t>T0113</t>
        </is>
      </c>
      <c r="B114" t="inlineStr">
        <is>
          <t>2024-01-18</t>
        </is>
      </c>
      <c r="C114" t="inlineStr">
        <is>
          <t>P008</t>
        </is>
      </c>
      <c r="D114" t="n">
        <v>11</v>
      </c>
      <c r="E114" t="n">
        <v>165</v>
      </c>
      <c r="F114" t="inlineStr">
        <is>
          <t>North</t>
        </is>
      </c>
    </row>
    <row r="115">
      <c r="A115" t="inlineStr">
        <is>
          <t>T0114</t>
        </is>
      </c>
      <c r="B115" t="inlineStr">
        <is>
          <t>2024-04-07</t>
        </is>
      </c>
      <c r="C115" t="inlineStr">
        <is>
          <t>P011</t>
        </is>
      </c>
      <c r="D115" t="n">
        <v>14</v>
      </c>
      <c r="E115" t="n">
        <v>111</v>
      </c>
      <c r="F115" t="inlineStr">
        <is>
          <t>East</t>
        </is>
      </c>
    </row>
    <row r="116">
      <c r="A116" t="inlineStr">
        <is>
          <t>T0115</t>
        </is>
      </c>
      <c r="B116" t="inlineStr">
        <is>
          <t>2024-10-25</t>
        </is>
      </c>
      <c r="C116" t="inlineStr">
        <is>
          <t>P028</t>
        </is>
      </c>
      <c r="D116" t="n">
        <v>9</v>
      </c>
      <c r="E116" t="n">
        <v>354</v>
      </c>
      <c r="F116" t="inlineStr">
        <is>
          <t>East</t>
        </is>
      </c>
    </row>
    <row r="117">
      <c r="A117" t="inlineStr">
        <is>
          <t>T0116</t>
        </is>
      </c>
      <c r="B117" t="inlineStr">
        <is>
          <t>2024-01-11</t>
        </is>
      </c>
      <c r="C117" t="inlineStr">
        <is>
          <t>P022</t>
        </is>
      </c>
      <c r="D117" t="n">
        <v>5</v>
      </c>
      <c r="E117" t="n">
        <v>282</v>
      </c>
      <c r="F117" t="inlineStr">
        <is>
          <t>South</t>
        </is>
      </c>
    </row>
    <row r="118">
      <c r="A118" t="inlineStr">
        <is>
          <t>T0117</t>
        </is>
      </c>
      <c r="B118" t="inlineStr">
        <is>
          <t>2024-04-01</t>
        </is>
      </c>
      <c r="C118" t="inlineStr">
        <is>
          <t>P039</t>
        </is>
      </c>
      <c r="D118" t="n">
        <v>18</v>
      </c>
      <c r="E118" t="n">
        <v>58</v>
      </c>
      <c r="F118" t="inlineStr">
        <is>
          <t>East</t>
        </is>
      </c>
    </row>
    <row r="119">
      <c r="A119" t="inlineStr">
        <is>
          <t>T0118</t>
        </is>
      </c>
      <c r="B119" t="inlineStr">
        <is>
          <t>2024-06-19</t>
        </is>
      </c>
      <c r="C119" t="inlineStr">
        <is>
          <t>P041</t>
        </is>
      </c>
      <c r="D119" t="n">
        <v>1</v>
      </c>
      <c r="E119" t="n">
        <v>425</v>
      </c>
      <c r="F119" t="inlineStr">
        <is>
          <t>West</t>
        </is>
      </c>
    </row>
    <row r="120">
      <c r="A120" t="inlineStr">
        <is>
          <t>T0119</t>
        </is>
      </c>
      <c r="B120" t="inlineStr">
        <is>
          <t>2024-08-25</t>
        </is>
      </c>
      <c r="C120" t="inlineStr">
        <is>
          <t>P047</t>
        </is>
      </c>
      <c r="D120" t="n">
        <v>11</v>
      </c>
      <c r="E120" t="n">
        <v>500</v>
      </c>
      <c r="F120" t="inlineStr">
        <is>
          <t>West</t>
        </is>
      </c>
    </row>
    <row r="121">
      <c r="A121" t="inlineStr">
        <is>
          <t>T0120</t>
        </is>
      </c>
      <c r="B121" t="inlineStr">
        <is>
          <t>2024-07-12</t>
        </is>
      </c>
      <c r="C121" t="inlineStr">
        <is>
          <t>P037</t>
        </is>
      </c>
      <c r="D121" t="n">
        <v>9</v>
      </c>
      <c r="E121" t="n">
        <v>433</v>
      </c>
      <c r="F121" t="inlineStr">
        <is>
          <t>East</t>
        </is>
      </c>
    </row>
    <row r="122">
      <c r="A122" t="inlineStr">
        <is>
          <t>T0121</t>
        </is>
      </c>
      <c r="B122" t="inlineStr">
        <is>
          <t>2024-04-28</t>
        </is>
      </c>
      <c r="C122" t="inlineStr">
        <is>
          <t>P021</t>
        </is>
      </c>
      <c r="D122" t="n">
        <v>16</v>
      </c>
      <c r="E122" t="n">
        <v>160</v>
      </c>
      <c r="F122" t="inlineStr">
        <is>
          <t>North</t>
        </is>
      </c>
    </row>
    <row r="123">
      <c r="A123" t="inlineStr">
        <is>
          <t>T0122</t>
        </is>
      </c>
      <c r="B123" t="inlineStr">
        <is>
          <t>2024-07-28</t>
        </is>
      </c>
      <c r="C123" t="inlineStr">
        <is>
          <t>P019</t>
        </is>
      </c>
      <c r="D123" t="n">
        <v>18</v>
      </c>
      <c r="E123" t="n">
        <v>65</v>
      </c>
      <c r="F123" t="inlineStr">
        <is>
          <t>South</t>
        </is>
      </c>
    </row>
    <row r="124">
      <c r="A124" t="inlineStr">
        <is>
          <t>T0123</t>
        </is>
      </c>
      <c r="B124" t="inlineStr">
        <is>
          <t>2024-03-20</t>
        </is>
      </c>
      <c r="C124" t="inlineStr">
        <is>
          <t>P033</t>
        </is>
      </c>
      <c r="D124" t="n">
        <v>18</v>
      </c>
      <c r="E124" t="n">
        <v>196</v>
      </c>
      <c r="F124" t="inlineStr">
        <is>
          <t>North</t>
        </is>
      </c>
    </row>
    <row r="125">
      <c r="A125" t="inlineStr">
        <is>
          <t>T0124</t>
        </is>
      </c>
      <c r="B125" t="inlineStr">
        <is>
          <t>2024-03-12</t>
        </is>
      </c>
      <c r="C125" t="inlineStr">
        <is>
          <t>P033</t>
        </is>
      </c>
      <c r="D125" t="n">
        <v>4</v>
      </c>
      <c r="E125" t="n">
        <v>107</v>
      </c>
      <c r="F125" t="inlineStr">
        <is>
          <t>North</t>
        </is>
      </c>
    </row>
    <row r="126">
      <c r="A126" t="inlineStr">
        <is>
          <t>T0125</t>
        </is>
      </c>
      <c r="B126" t="inlineStr">
        <is>
          <t>2024-08-16</t>
        </is>
      </c>
      <c r="C126" t="inlineStr">
        <is>
          <t>P004</t>
        </is>
      </c>
      <c r="D126" t="n">
        <v>17</v>
      </c>
      <c r="E126" t="n">
        <v>373</v>
      </c>
      <c r="F126" t="inlineStr">
        <is>
          <t>East</t>
        </is>
      </c>
    </row>
    <row r="127">
      <c r="A127" t="inlineStr">
        <is>
          <t>T0126</t>
        </is>
      </c>
      <c r="B127" t="inlineStr">
        <is>
          <t>2024-08-11</t>
        </is>
      </c>
      <c r="C127" t="inlineStr">
        <is>
          <t>P009</t>
        </is>
      </c>
      <c r="D127" t="n">
        <v>4</v>
      </c>
      <c r="E127" t="n">
        <v>372</v>
      </c>
      <c r="F127" t="inlineStr">
        <is>
          <t>North</t>
        </is>
      </c>
    </row>
    <row r="128">
      <c r="A128" t="inlineStr">
        <is>
          <t>T0127</t>
        </is>
      </c>
      <c r="B128" t="inlineStr">
        <is>
          <t>2024-12-16</t>
        </is>
      </c>
      <c r="C128" t="inlineStr">
        <is>
          <t>P004</t>
        </is>
      </c>
      <c r="D128" t="n">
        <v>6</v>
      </c>
      <c r="E128" t="n">
        <v>244</v>
      </c>
      <c r="F128" t="inlineStr">
        <is>
          <t>North</t>
        </is>
      </c>
    </row>
    <row r="129">
      <c r="A129" t="inlineStr">
        <is>
          <t>T0128</t>
        </is>
      </c>
      <c r="B129" t="inlineStr">
        <is>
          <t>2024-05-01</t>
        </is>
      </c>
      <c r="C129" t="inlineStr">
        <is>
          <t>P037</t>
        </is>
      </c>
      <c r="D129" t="n">
        <v>8</v>
      </c>
      <c r="E129" t="n">
        <v>424</v>
      </c>
      <c r="F129" t="inlineStr">
        <is>
          <t>East</t>
        </is>
      </c>
    </row>
    <row r="130">
      <c r="A130" t="inlineStr">
        <is>
          <t>T0129</t>
        </is>
      </c>
      <c r="B130" t="inlineStr">
        <is>
          <t>2024-08-13</t>
        </is>
      </c>
      <c r="C130" t="inlineStr">
        <is>
          <t>P003</t>
        </is>
      </c>
      <c r="D130" t="n">
        <v>16</v>
      </c>
      <c r="E130" t="n">
        <v>140</v>
      </c>
      <c r="F130" t="inlineStr">
        <is>
          <t>South</t>
        </is>
      </c>
    </row>
    <row r="131">
      <c r="A131" t="inlineStr">
        <is>
          <t>T0130</t>
        </is>
      </c>
      <c r="B131" t="inlineStr">
        <is>
          <t>2024-11-26</t>
        </is>
      </c>
      <c r="C131" t="inlineStr">
        <is>
          <t>P036</t>
        </is>
      </c>
      <c r="D131" t="n">
        <v>11</v>
      </c>
      <c r="E131" t="n">
        <v>113</v>
      </c>
      <c r="F131" t="inlineStr">
        <is>
          <t>West</t>
        </is>
      </c>
    </row>
    <row r="132">
      <c r="A132" t="inlineStr">
        <is>
          <t>T0131</t>
        </is>
      </c>
      <c r="B132" t="inlineStr">
        <is>
          <t>2024-12-07</t>
        </is>
      </c>
      <c r="C132" t="inlineStr">
        <is>
          <t>P015</t>
        </is>
      </c>
      <c r="D132" t="n">
        <v>18</v>
      </c>
      <c r="E132" t="n">
        <v>220</v>
      </c>
      <c r="F132" t="inlineStr">
        <is>
          <t>East</t>
        </is>
      </c>
    </row>
    <row r="133">
      <c r="A133" t="inlineStr">
        <is>
          <t>T0132</t>
        </is>
      </c>
      <c r="B133" t="inlineStr">
        <is>
          <t>2024-04-23</t>
        </is>
      </c>
      <c r="C133" t="inlineStr">
        <is>
          <t>P034</t>
        </is>
      </c>
      <c r="D133" t="n">
        <v>16</v>
      </c>
      <c r="E133" t="n">
        <v>224</v>
      </c>
      <c r="F133" t="inlineStr">
        <is>
          <t>West</t>
        </is>
      </c>
    </row>
    <row r="134">
      <c r="A134" t="inlineStr">
        <is>
          <t>T0133</t>
        </is>
      </c>
      <c r="B134" t="inlineStr">
        <is>
          <t>2024-06-18</t>
        </is>
      </c>
      <c r="C134" t="inlineStr">
        <is>
          <t>P016</t>
        </is>
      </c>
      <c r="D134" t="n">
        <v>6</v>
      </c>
      <c r="E134" t="n">
        <v>222</v>
      </c>
      <c r="F134" t="inlineStr">
        <is>
          <t>East</t>
        </is>
      </c>
    </row>
    <row r="135">
      <c r="A135" t="inlineStr">
        <is>
          <t>T0134</t>
        </is>
      </c>
      <c r="B135" t="inlineStr">
        <is>
          <t>2024-10-08</t>
        </is>
      </c>
      <c r="C135" t="inlineStr">
        <is>
          <t>P044</t>
        </is>
      </c>
      <c r="D135" t="n">
        <v>1</v>
      </c>
      <c r="E135" t="n">
        <v>69</v>
      </c>
      <c r="F135" t="inlineStr">
        <is>
          <t>West</t>
        </is>
      </c>
    </row>
    <row r="136">
      <c r="A136" t="inlineStr">
        <is>
          <t>T0135</t>
        </is>
      </c>
      <c r="B136" t="inlineStr">
        <is>
          <t>2024-11-16</t>
        </is>
      </c>
      <c r="C136" t="inlineStr">
        <is>
          <t>P024</t>
        </is>
      </c>
      <c r="D136" t="n">
        <v>4</v>
      </c>
      <c r="E136" t="n">
        <v>255</v>
      </c>
      <c r="F136" t="inlineStr">
        <is>
          <t>North</t>
        </is>
      </c>
    </row>
    <row r="137">
      <c r="A137" t="inlineStr">
        <is>
          <t>T0136</t>
        </is>
      </c>
      <c r="B137" t="inlineStr">
        <is>
          <t>2024-08-30</t>
        </is>
      </c>
      <c r="C137" t="inlineStr">
        <is>
          <t>P015</t>
        </is>
      </c>
      <c r="D137" t="n">
        <v>4</v>
      </c>
      <c r="E137" t="n">
        <v>138</v>
      </c>
      <c r="F137" t="inlineStr">
        <is>
          <t>North</t>
        </is>
      </c>
    </row>
    <row r="138">
      <c r="A138" t="inlineStr">
        <is>
          <t>T0137</t>
        </is>
      </c>
      <c r="B138" t="inlineStr">
        <is>
          <t>2024-05-18</t>
        </is>
      </c>
      <c r="C138" t="inlineStr">
        <is>
          <t>P030</t>
        </is>
      </c>
      <c r="D138" t="n">
        <v>20</v>
      </c>
      <c r="E138" t="n">
        <v>88</v>
      </c>
      <c r="F138" t="inlineStr">
        <is>
          <t>West</t>
        </is>
      </c>
    </row>
    <row r="139">
      <c r="A139" t="inlineStr">
        <is>
          <t>T0138</t>
        </is>
      </c>
      <c r="B139" t="inlineStr">
        <is>
          <t>2024-04-06</t>
        </is>
      </c>
      <c r="C139" t="inlineStr">
        <is>
          <t>P004</t>
        </is>
      </c>
      <c r="D139" t="n">
        <v>7</v>
      </c>
      <c r="E139" t="n">
        <v>465</v>
      </c>
      <c r="F139" t="inlineStr">
        <is>
          <t>North</t>
        </is>
      </c>
    </row>
    <row r="140">
      <c r="A140" t="inlineStr">
        <is>
          <t>T0139</t>
        </is>
      </c>
      <c r="B140" t="inlineStr">
        <is>
          <t>2024-10-22</t>
        </is>
      </c>
      <c r="C140" t="inlineStr">
        <is>
          <t>P014</t>
        </is>
      </c>
      <c r="D140" t="n">
        <v>5</v>
      </c>
      <c r="E140" t="n">
        <v>326</v>
      </c>
      <c r="F140" t="inlineStr">
        <is>
          <t>West</t>
        </is>
      </c>
    </row>
    <row r="141">
      <c r="A141" t="inlineStr">
        <is>
          <t>T0140</t>
        </is>
      </c>
      <c r="B141" t="inlineStr">
        <is>
          <t>2024-02-05</t>
        </is>
      </c>
      <c r="C141" t="inlineStr">
        <is>
          <t>P017</t>
        </is>
      </c>
      <c r="D141" t="n">
        <v>12</v>
      </c>
      <c r="E141" t="n">
        <v>479</v>
      </c>
      <c r="F141" t="inlineStr">
        <is>
          <t>East</t>
        </is>
      </c>
    </row>
    <row r="142">
      <c r="A142" t="inlineStr">
        <is>
          <t>T0141</t>
        </is>
      </c>
      <c r="B142" t="inlineStr">
        <is>
          <t>2024-09-14</t>
        </is>
      </c>
      <c r="C142" t="inlineStr">
        <is>
          <t>P027</t>
        </is>
      </c>
      <c r="D142" t="n">
        <v>20</v>
      </c>
      <c r="E142" t="n">
        <v>262</v>
      </c>
      <c r="F142" t="inlineStr">
        <is>
          <t>West</t>
        </is>
      </c>
    </row>
    <row r="143">
      <c r="A143" t="inlineStr">
        <is>
          <t>T0142</t>
        </is>
      </c>
      <c r="B143" t="inlineStr">
        <is>
          <t>2024-06-11</t>
        </is>
      </c>
      <c r="C143" t="inlineStr">
        <is>
          <t>P030</t>
        </is>
      </c>
      <c r="D143" t="n">
        <v>12</v>
      </c>
      <c r="E143" t="n">
        <v>229</v>
      </c>
      <c r="F143" t="inlineStr">
        <is>
          <t>South</t>
        </is>
      </c>
    </row>
    <row r="144">
      <c r="A144" t="inlineStr">
        <is>
          <t>T0143</t>
        </is>
      </c>
      <c r="B144" t="inlineStr">
        <is>
          <t>2024-08-03</t>
        </is>
      </c>
      <c r="C144" t="inlineStr">
        <is>
          <t>P020</t>
        </is>
      </c>
      <c r="D144" t="n">
        <v>13</v>
      </c>
      <c r="E144" t="n">
        <v>132</v>
      </c>
      <c r="F144" t="inlineStr">
        <is>
          <t>West</t>
        </is>
      </c>
    </row>
    <row r="145">
      <c r="A145" t="inlineStr">
        <is>
          <t>T0144</t>
        </is>
      </c>
      <c r="B145" t="inlineStr">
        <is>
          <t>2024-07-24</t>
        </is>
      </c>
      <c r="C145" t="inlineStr">
        <is>
          <t>P014</t>
        </is>
      </c>
      <c r="D145" t="n">
        <v>6</v>
      </c>
      <c r="E145" t="n">
        <v>80</v>
      </c>
      <c r="F145" t="inlineStr">
        <is>
          <t>North</t>
        </is>
      </c>
    </row>
    <row r="146">
      <c r="A146" t="inlineStr">
        <is>
          <t>T0145</t>
        </is>
      </c>
      <c r="B146" t="inlineStr">
        <is>
          <t>2024-12-19</t>
        </is>
      </c>
      <c r="C146" t="inlineStr">
        <is>
          <t>P043</t>
        </is>
      </c>
      <c r="D146" t="n">
        <v>18</v>
      </c>
      <c r="E146" t="n">
        <v>313</v>
      </c>
      <c r="F146" t="inlineStr">
        <is>
          <t>West</t>
        </is>
      </c>
    </row>
    <row r="147">
      <c r="A147" t="inlineStr">
        <is>
          <t>T0146</t>
        </is>
      </c>
      <c r="B147" t="inlineStr">
        <is>
          <t>2024-03-09</t>
        </is>
      </c>
      <c r="C147" t="inlineStr">
        <is>
          <t>P013</t>
        </is>
      </c>
      <c r="D147" t="n">
        <v>16</v>
      </c>
      <c r="E147" t="n">
        <v>395</v>
      </c>
      <c r="F147" t="inlineStr">
        <is>
          <t>West</t>
        </is>
      </c>
    </row>
    <row r="148">
      <c r="A148" t="inlineStr">
        <is>
          <t>T0147</t>
        </is>
      </c>
      <c r="B148" t="inlineStr">
        <is>
          <t>2024-12-07</t>
        </is>
      </c>
      <c r="C148" t="inlineStr">
        <is>
          <t>P038</t>
        </is>
      </c>
      <c r="D148" t="n">
        <v>17</v>
      </c>
      <c r="E148" t="n">
        <v>275</v>
      </c>
      <c r="F148" t="inlineStr">
        <is>
          <t>South</t>
        </is>
      </c>
    </row>
    <row r="149">
      <c r="A149" t="inlineStr">
        <is>
          <t>T0148</t>
        </is>
      </c>
      <c r="B149" t="inlineStr">
        <is>
          <t>2024-05-19</t>
        </is>
      </c>
      <c r="C149" t="inlineStr">
        <is>
          <t>P013</t>
        </is>
      </c>
      <c r="D149" t="n">
        <v>18</v>
      </c>
      <c r="E149" t="n">
        <v>340</v>
      </c>
      <c r="F149" t="inlineStr">
        <is>
          <t>West</t>
        </is>
      </c>
    </row>
    <row r="150">
      <c r="A150" t="inlineStr">
        <is>
          <t>T0149</t>
        </is>
      </c>
      <c r="B150" t="inlineStr">
        <is>
          <t>2024-06-29</t>
        </is>
      </c>
      <c r="C150" t="inlineStr">
        <is>
          <t>P024</t>
        </is>
      </c>
      <c r="D150" t="n">
        <v>11</v>
      </c>
      <c r="E150" t="n">
        <v>147</v>
      </c>
      <c r="F150" t="inlineStr">
        <is>
          <t>East</t>
        </is>
      </c>
    </row>
    <row r="151">
      <c r="A151" t="inlineStr">
        <is>
          <t>T0150</t>
        </is>
      </c>
      <c r="B151" t="inlineStr">
        <is>
          <t>2024-09-29</t>
        </is>
      </c>
      <c r="C151" t="inlineStr">
        <is>
          <t>P010</t>
        </is>
      </c>
      <c r="D151" t="n">
        <v>12</v>
      </c>
      <c r="E151" t="n">
        <v>246</v>
      </c>
      <c r="F151" t="inlineStr">
        <is>
          <t>South</t>
        </is>
      </c>
    </row>
    <row r="152">
      <c r="A152" t="inlineStr">
        <is>
          <t>T0151</t>
        </is>
      </c>
      <c r="B152" t="inlineStr">
        <is>
          <t>2024-01-19</t>
        </is>
      </c>
      <c r="C152" t="inlineStr">
        <is>
          <t>P023</t>
        </is>
      </c>
      <c r="D152" t="n">
        <v>15</v>
      </c>
      <c r="E152" t="n">
        <v>254</v>
      </c>
      <c r="F152" t="inlineStr">
        <is>
          <t>South</t>
        </is>
      </c>
    </row>
    <row r="153">
      <c r="A153" t="inlineStr">
        <is>
          <t>T0152</t>
        </is>
      </c>
      <c r="B153" t="inlineStr">
        <is>
          <t>2024-05-20</t>
        </is>
      </c>
      <c r="C153" t="inlineStr">
        <is>
          <t>P043</t>
        </is>
      </c>
      <c r="D153" t="n">
        <v>14</v>
      </c>
      <c r="E153" t="n">
        <v>171</v>
      </c>
      <c r="F153" t="inlineStr">
        <is>
          <t>East</t>
        </is>
      </c>
    </row>
    <row r="154">
      <c r="A154" t="inlineStr">
        <is>
          <t>T0153</t>
        </is>
      </c>
      <c r="B154" t="inlineStr">
        <is>
          <t>2024-08-15</t>
        </is>
      </c>
      <c r="C154" t="inlineStr">
        <is>
          <t>P019</t>
        </is>
      </c>
      <c r="D154" t="n">
        <v>17</v>
      </c>
      <c r="E154" t="n">
        <v>472</v>
      </c>
      <c r="F154" t="inlineStr">
        <is>
          <t>North</t>
        </is>
      </c>
    </row>
    <row r="155">
      <c r="A155" t="inlineStr">
        <is>
          <t>T0154</t>
        </is>
      </c>
      <c r="B155" t="inlineStr">
        <is>
          <t>2024-05-01</t>
        </is>
      </c>
      <c r="C155" t="inlineStr">
        <is>
          <t>P005</t>
        </is>
      </c>
      <c r="D155" t="n">
        <v>7</v>
      </c>
      <c r="E155" t="n">
        <v>96</v>
      </c>
      <c r="F155" t="inlineStr">
        <is>
          <t>West</t>
        </is>
      </c>
    </row>
    <row r="156">
      <c r="A156" t="inlineStr">
        <is>
          <t>T0155</t>
        </is>
      </c>
      <c r="B156" t="inlineStr">
        <is>
          <t>2024-12-02</t>
        </is>
      </c>
      <c r="C156" t="inlineStr">
        <is>
          <t>P042</t>
        </is>
      </c>
      <c r="D156" t="n">
        <v>15</v>
      </c>
      <c r="E156" t="n">
        <v>416</v>
      </c>
      <c r="F156" t="inlineStr">
        <is>
          <t>West</t>
        </is>
      </c>
    </row>
    <row r="157">
      <c r="A157" t="inlineStr">
        <is>
          <t>T0156</t>
        </is>
      </c>
      <c r="B157" t="inlineStr">
        <is>
          <t>2024-08-23</t>
        </is>
      </c>
      <c r="C157" t="inlineStr">
        <is>
          <t>P009</t>
        </is>
      </c>
      <c r="D157" t="n">
        <v>14</v>
      </c>
      <c r="E157" t="n">
        <v>215</v>
      </c>
      <c r="F157" t="inlineStr">
        <is>
          <t>West</t>
        </is>
      </c>
    </row>
    <row r="158">
      <c r="A158" t="inlineStr">
        <is>
          <t>T0157</t>
        </is>
      </c>
      <c r="B158" t="inlineStr">
        <is>
          <t>2024-08-02</t>
        </is>
      </c>
      <c r="C158" t="inlineStr">
        <is>
          <t>P002</t>
        </is>
      </c>
      <c r="D158" t="n">
        <v>17</v>
      </c>
      <c r="E158" t="n">
        <v>191</v>
      </c>
      <c r="F158" t="inlineStr">
        <is>
          <t>South</t>
        </is>
      </c>
    </row>
    <row r="159">
      <c r="A159" t="inlineStr">
        <is>
          <t>T0158</t>
        </is>
      </c>
      <c r="B159" t="inlineStr">
        <is>
          <t>2024-08-28</t>
        </is>
      </c>
      <c r="C159" t="inlineStr">
        <is>
          <t>P017</t>
        </is>
      </c>
      <c r="D159" t="n">
        <v>14</v>
      </c>
      <c r="E159" t="n">
        <v>115</v>
      </c>
      <c r="F159" t="inlineStr">
        <is>
          <t>West</t>
        </is>
      </c>
    </row>
    <row r="160">
      <c r="A160" t="inlineStr">
        <is>
          <t>T0159</t>
        </is>
      </c>
      <c r="B160" t="inlineStr">
        <is>
          <t>2024-01-20</t>
        </is>
      </c>
      <c r="C160" t="inlineStr">
        <is>
          <t>P015</t>
        </is>
      </c>
      <c r="D160" t="n">
        <v>7</v>
      </c>
      <c r="E160" t="n">
        <v>72</v>
      </c>
      <c r="F160" t="inlineStr">
        <is>
          <t>North</t>
        </is>
      </c>
    </row>
    <row r="161">
      <c r="A161" t="inlineStr">
        <is>
          <t>T0160</t>
        </is>
      </c>
      <c r="B161" t="inlineStr">
        <is>
          <t>2024-04-07</t>
        </is>
      </c>
      <c r="C161" t="inlineStr">
        <is>
          <t>P031</t>
        </is>
      </c>
      <c r="D161" t="n">
        <v>7</v>
      </c>
      <c r="E161" t="n">
        <v>427</v>
      </c>
      <c r="F161" t="inlineStr">
        <is>
          <t>East</t>
        </is>
      </c>
    </row>
    <row r="162">
      <c r="A162" t="inlineStr">
        <is>
          <t>T0161</t>
        </is>
      </c>
      <c r="B162" t="inlineStr">
        <is>
          <t>2024-02-08</t>
        </is>
      </c>
      <c r="C162" t="inlineStr">
        <is>
          <t>P023</t>
        </is>
      </c>
      <c r="D162" t="n">
        <v>10</v>
      </c>
      <c r="E162" t="n">
        <v>490</v>
      </c>
      <c r="F162" t="inlineStr">
        <is>
          <t>South</t>
        </is>
      </c>
    </row>
    <row r="163">
      <c r="A163" t="inlineStr">
        <is>
          <t>T0162</t>
        </is>
      </c>
      <c r="B163" t="inlineStr">
        <is>
          <t>2024-05-12</t>
        </is>
      </c>
      <c r="C163" t="inlineStr">
        <is>
          <t>P014</t>
        </is>
      </c>
      <c r="D163" t="n">
        <v>15</v>
      </c>
      <c r="E163" t="n">
        <v>438</v>
      </c>
      <c r="F163" t="inlineStr">
        <is>
          <t>South</t>
        </is>
      </c>
    </row>
    <row r="164">
      <c r="A164" t="inlineStr">
        <is>
          <t>T0163</t>
        </is>
      </c>
      <c r="B164" t="inlineStr">
        <is>
          <t>2024-08-20</t>
        </is>
      </c>
      <c r="C164" t="inlineStr">
        <is>
          <t>P035</t>
        </is>
      </c>
      <c r="D164" t="n">
        <v>15</v>
      </c>
      <c r="E164" t="n">
        <v>87</v>
      </c>
      <c r="F164" t="inlineStr">
        <is>
          <t>North</t>
        </is>
      </c>
    </row>
    <row r="165">
      <c r="A165" t="inlineStr">
        <is>
          <t>T0164</t>
        </is>
      </c>
      <c r="B165" t="inlineStr">
        <is>
          <t>2024-07-14</t>
        </is>
      </c>
      <c r="C165" t="inlineStr">
        <is>
          <t>P003</t>
        </is>
      </c>
      <c r="D165" t="n">
        <v>9</v>
      </c>
      <c r="E165" t="n">
        <v>193</v>
      </c>
      <c r="F165" t="inlineStr">
        <is>
          <t>West</t>
        </is>
      </c>
    </row>
    <row r="166">
      <c r="A166" t="inlineStr">
        <is>
          <t>T0165</t>
        </is>
      </c>
      <c r="B166" t="inlineStr">
        <is>
          <t>2024-07-22</t>
        </is>
      </c>
      <c r="C166" t="inlineStr">
        <is>
          <t>P011</t>
        </is>
      </c>
      <c r="D166" t="n">
        <v>15</v>
      </c>
      <c r="E166" t="n">
        <v>489</v>
      </c>
      <c r="F166" t="inlineStr">
        <is>
          <t>East</t>
        </is>
      </c>
    </row>
    <row r="167">
      <c r="A167" t="inlineStr">
        <is>
          <t>T0166</t>
        </is>
      </c>
      <c r="B167" t="inlineStr">
        <is>
          <t>2024-06-17</t>
        </is>
      </c>
      <c r="C167" t="inlineStr">
        <is>
          <t>P025</t>
        </is>
      </c>
      <c r="D167" t="n">
        <v>20</v>
      </c>
      <c r="E167" t="n">
        <v>365</v>
      </c>
      <c r="F167" t="inlineStr">
        <is>
          <t>West</t>
        </is>
      </c>
    </row>
    <row r="168">
      <c r="A168" t="inlineStr">
        <is>
          <t>T0167</t>
        </is>
      </c>
      <c r="B168" t="inlineStr">
        <is>
          <t>2024-09-04</t>
        </is>
      </c>
      <c r="C168" t="inlineStr">
        <is>
          <t>P001</t>
        </is>
      </c>
      <c r="D168" t="n">
        <v>10</v>
      </c>
      <c r="E168" t="n">
        <v>121</v>
      </c>
      <c r="F168" t="inlineStr">
        <is>
          <t>North</t>
        </is>
      </c>
    </row>
    <row r="169">
      <c r="A169" t="inlineStr">
        <is>
          <t>T0168</t>
        </is>
      </c>
      <c r="B169" t="inlineStr">
        <is>
          <t>2024-05-08</t>
        </is>
      </c>
      <c r="C169" t="inlineStr">
        <is>
          <t>P028</t>
        </is>
      </c>
      <c r="D169" t="n">
        <v>2</v>
      </c>
      <c r="E169" t="n">
        <v>363</v>
      </c>
      <c r="F169" t="inlineStr">
        <is>
          <t>South</t>
        </is>
      </c>
    </row>
    <row r="170">
      <c r="A170" t="inlineStr">
        <is>
          <t>T0169</t>
        </is>
      </c>
      <c r="B170" t="inlineStr">
        <is>
          <t>2024-01-31</t>
        </is>
      </c>
      <c r="C170" t="inlineStr">
        <is>
          <t>P043</t>
        </is>
      </c>
      <c r="D170" t="n">
        <v>16</v>
      </c>
      <c r="E170" t="n">
        <v>306</v>
      </c>
      <c r="F170" t="inlineStr">
        <is>
          <t>West</t>
        </is>
      </c>
    </row>
    <row r="171">
      <c r="A171" t="inlineStr">
        <is>
          <t>T0170</t>
        </is>
      </c>
      <c r="B171" t="inlineStr">
        <is>
          <t>2024-07-03</t>
        </is>
      </c>
      <c r="C171" t="inlineStr">
        <is>
          <t>P009</t>
        </is>
      </c>
      <c r="D171" t="n">
        <v>6</v>
      </c>
      <c r="E171" t="n">
        <v>124</v>
      </c>
      <c r="F171" t="inlineStr">
        <is>
          <t>South</t>
        </is>
      </c>
    </row>
    <row r="172">
      <c r="A172" t="inlineStr">
        <is>
          <t>T0171</t>
        </is>
      </c>
      <c r="B172" t="inlineStr">
        <is>
          <t>2024-04-04</t>
        </is>
      </c>
      <c r="C172" t="inlineStr">
        <is>
          <t>P040</t>
        </is>
      </c>
      <c r="D172" t="n">
        <v>19</v>
      </c>
      <c r="E172" t="n">
        <v>107</v>
      </c>
      <c r="F172" t="inlineStr">
        <is>
          <t>West</t>
        </is>
      </c>
    </row>
    <row r="173">
      <c r="A173" t="inlineStr">
        <is>
          <t>T0172</t>
        </is>
      </c>
      <c r="B173" t="inlineStr">
        <is>
          <t>2024-06-09</t>
        </is>
      </c>
      <c r="C173" t="inlineStr">
        <is>
          <t>P040</t>
        </is>
      </c>
      <c r="D173" t="n">
        <v>20</v>
      </c>
      <c r="E173" t="n">
        <v>366</v>
      </c>
      <c r="F173" t="inlineStr">
        <is>
          <t>West</t>
        </is>
      </c>
    </row>
    <row r="174">
      <c r="A174" t="inlineStr">
        <is>
          <t>T0173</t>
        </is>
      </c>
      <c r="B174" t="inlineStr">
        <is>
          <t>2024-02-02</t>
        </is>
      </c>
      <c r="C174" t="inlineStr">
        <is>
          <t>P049</t>
        </is>
      </c>
      <c r="D174" t="n">
        <v>1</v>
      </c>
      <c r="E174" t="n">
        <v>482</v>
      </c>
      <c r="F174" t="inlineStr">
        <is>
          <t>West</t>
        </is>
      </c>
    </row>
    <row r="175">
      <c r="A175" t="inlineStr">
        <is>
          <t>T0174</t>
        </is>
      </c>
      <c r="B175" t="inlineStr">
        <is>
          <t>2024-07-21</t>
        </is>
      </c>
      <c r="C175" t="inlineStr">
        <is>
          <t>P019</t>
        </is>
      </c>
      <c r="D175" t="n">
        <v>15</v>
      </c>
      <c r="E175" t="n">
        <v>416</v>
      </c>
      <c r="F175" t="inlineStr">
        <is>
          <t>East</t>
        </is>
      </c>
    </row>
    <row r="176">
      <c r="A176" t="inlineStr">
        <is>
          <t>T0175</t>
        </is>
      </c>
      <c r="B176" t="inlineStr">
        <is>
          <t>2024-07-23</t>
        </is>
      </c>
      <c r="C176" t="inlineStr">
        <is>
          <t>P023</t>
        </is>
      </c>
      <c r="D176" t="n">
        <v>16</v>
      </c>
      <c r="E176" t="n">
        <v>73</v>
      </c>
      <c r="F176" t="inlineStr">
        <is>
          <t>East</t>
        </is>
      </c>
    </row>
    <row r="177">
      <c r="A177" t="inlineStr">
        <is>
          <t>T0176</t>
        </is>
      </c>
      <c r="B177" t="inlineStr">
        <is>
          <t>2024-04-30</t>
        </is>
      </c>
      <c r="C177" t="inlineStr">
        <is>
          <t>P025</t>
        </is>
      </c>
      <c r="D177" t="n">
        <v>14</v>
      </c>
      <c r="E177" t="n">
        <v>202</v>
      </c>
      <c r="F177" t="inlineStr">
        <is>
          <t>East</t>
        </is>
      </c>
    </row>
    <row r="178">
      <c r="A178" t="inlineStr">
        <is>
          <t>T0177</t>
        </is>
      </c>
      <c r="B178" t="inlineStr">
        <is>
          <t>2024-02-15</t>
        </is>
      </c>
      <c r="C178" t="inlineStr">
        <is>
          <t>P001</t>
        </is>
      </c>
      <c r="D178" t="n">
        <v>3</v>
      </c>
      <c r="E178" t="n">
        <v>139</v>
      </c>
      <c r="F178" t="inlineStr">
        <is>
          <t>West</t>
        </is>
      </c>
    </row>
    <row r="179">
      <c r="A179" t="inlineStr">
        <is>
          <t>T0178</t>
        </is>
      </c>
      <c r="B179" t="inlineStr">
        <is>
          <t>2024-08-20</t>
        </is>
      </c>
      <c r="C179" t="inlineStr">
        <is>
          <t>P044</t>
        </is>
      </c>
      <c r="D179" t="n">
        <v>5</v>
      </c>
      <c r="E179" t="n">
        <v>170</v>
      </c>
      <c r="F179" t="inlineStr">
        <is>
          <t>North</t>
        </is>
      </c>
    </row>
    <row r="180">
      <c r="A180" t="inlineStr">
        <is>
          <t>T0179</t>
        </is>
      </c>
      <c r="B180" t="inlineStr">
        <is>
          <t>2024-06-14</t>
        </is>
      </c>
      <c r="C180" t="inlineStr">
        <is>
          <t>P030</t>
        </is>
      </c>
      <c r="D180" t="n">
        <v>5</v>
      </c>
      <c r="E180" t="n">
        <v>203</v>
      </c>
      <c r="F180" t="inlineStr">
        <is>
          <t>North</t>
        </is>
      </c>
    </row>
    <row r="181">
      <c r="A181" t="inlineStr">
        <is>
          <t>T0180</t>
        </is>
      </c>
      <c r="B181" t="inlineStr">
        <is>
          <t>2024-08-08</t>
        </is>
      </c>
      <c r="C181" t="inlineStr">
        <is>
          <t>P040</t>
        </is>
      </c>
      <c r="D181" t="n">
        <v>6</v>
      </c>
      <c r="E181" t="n">
        <v>384</v>
      </c>
      <c r="F181" t="inlineStr">
        <is>
          <t>West</t>
        </is>
      </c>
    </row>
    <row r="182">
      <c r="A182" t="inlineStr">
        <is>
          <t>T0181</t>
        </is>
      </c>
      <c r="B182" t="inlineStr">
        <is>
          <t>2024-11-23</t>
        </is>
      </c>
      <c r="C182" t="inlineStr">
        <is>
          <t>P044</t>
        </is>
      </c>
      <c r="D182" t="n">
        <v>13</v>
      </c>
      <c r="E182" t="n">
        <v>436</v>
      </c>
      <c r="F182" t="inlineStr">
        <is>
          <t>East</t>
        </is>
      </c>
    </row>
    <row r="183">
      <c r="A183" t="inlineStr">
        <is>
          <t>T0182</t>
        </is>
      </c>
      <c r="B183" t="inlineStr">
        <is>
          <t>2024-08-17</t>
        </is>
      </c>
      <c r="C183" t="inlineStr">
        <is>
          <t>P009</t>
        </is>
      </c>
      <c r="D183" t="n">
        <v>5</v>
      </c>
      <c r="E183" t="n">
        <v>275</v>
      </c>
      <c r="F183" t="inlineStr">
        <is>
          <t>South</t>
        </is>
      </c>
    </row>
    <row r="184">
      <c r="A184" t="inlineStr">
        <is>
          <t>T0183</t>
        </is>
      </c>
      <c r="B184" t="inlineStr">
        <is>
          <t>2024-11-13</t>
        </is>
      </c>
      <c r="C184" t="inlineStr">
        <is>
          <t>P002</t>
        </is>
      </c>
      <c r="D184" t="n">
        <v>17</v>
      </c>
      <c r="E184" t="n">
        <v>372</v>
      </c>
      <c r="F184" t="inlineStr">
        <is>
          <t>West</t>
        </is>
      </c>
    </row>
    <row r="185">
      <c r="A185" t="inlineStr">
        <is>
          <t>T0184</t>
        </is>
      </c>
      <c r="B185" t="inlineStr">
        <is>
          <t>2024-03-22</t>
        </is>
      </c>
      <c r="C185" t="inlineStr">
        <is>
          <t>P015</t>
        </is>
      </c>
      <c r="D185" t="n">
        <v>6</v>
      </c>
      <c r="E185" t="n">
        <v>371</v>
      </c>
      <c r="F185" t="inlineStr">
        <is>
          <t>South</t>
        </is>
      </c>
    </row>
    <row r="186">
      <c r="A186" t="inlineStr">
        <is>
          <t>T0185</t>
        </is>
      </c>
      <c r="B186" t="inlineStr">
        <is>
          <t>2024-08-03</t>
        </is>
      </c>
      <c r="C186" t="inlineStr">
        <is>
          <t>P025</t>
        </is>
      </c>
      <c r="D186" t="n">
        <v>15</v>
      </c>
      <c r="E186" t="n">
        <v>485</v>
      </c>
      <c r="F186" t="inlineStr">
        <is>
          <t>East</t>
        </is>
      </c>
    </row>
    <row r="187">
      <c r="A187" t="inlineStr">
        <is>
          <t>T0186</t>
        </is>
      </c>
      <c r="B187" t="inlineStr">
        <is>
          <t>2024-12-20</t>
        </is>
      </c>
      <c r="C187" t="inlineStr">
        <is>
          <t>P013</t>
        </is>
      </c>
      <c r="D187" t="n">
        <v>16</v>
      </c>
      <c r="E187" t="n">
        <v>401</v>
      </c>
      <c r="F187" t="inlineStr">
        <is>
          <t>South</t>
        </is>
      </c>
    </row>
    <row r="188">
      <c r="A188" t="inlineStr">
        <is>
          <t>T0187</t>
        </is>
      </c>
      <c r="B188" t="inlineStr">
        <is>
          <t>2024-04-29</t>
        </is>
      </c>
      <c r="C188" t="inlineStr">
        <is>
          <t>P027</t>
        </is>
      </c>
      <c r="D188" t="n">
        <v>6</v>
      </c>
      <c r="E188" t="n">
        <v>353</v>
      </c>
      <c r="F188" t="inlineStr">
        <is>
          <t>North</t>
        </is>
      </c>
    </row>
    <row r="189">
      <c r="A189" t="inlineStr">
        <is>
          <t>T0188</t>
        </is>
      </c>
      <c r="B189" t="inlineStr">
        <is>
          <t>2024-09-18</t>
        </is>
      </c>
      <c r="C189" t="inlineStr">
        <is>
          <t>P015</t>
        </is>
      </c>
      <c r="D189" t="n">
        <v>10</v>
      </c>
      <c r="E189" t="n">
        <v>213</v>
      </c>
      <c r="F189" t="inlineStr">
        <is>
          <t>North</t>
        </is>
      </c>
    </row>
    <row r="190">
      <c r="A190" t="inlineStr">
        <is>
          <t>T0189</t>
        </is>
      </c>
      <c r="B190" t="inlineStr">
        <is>
          <t>2024-01-04</t>
        </is>
      </c>
      <c r="C190" t="inlineStr">
        <is>
          <t>P037</t>
        </is>
      </c>
      <c r="D190" t="n">
        <v>19</v>
      </c>
      <c r="E190" t="n">
        <v>265</v>
      </c>
      <c r="F190" t="inlineStr">
        <is>
          <t>East</t>
        </is>
      </c>
    </row>
    <row r="191">
      <c r="A191" t="inlineStr">
        <is>
          <t>T0190</t>
        </is>
      </c>
      <c r="B191" t="inlineStr">
        <is>
          <t>2024-06-24</t>
        </is>
      </c>
      <c r="C191" t="inlineStr">
        <is>
          <t>P050</t>
        </is>
      </c>
      <c r="D191" t="n">
        <v>4</v>
      </c>
      <c r="E191" t="n">
        <v>281</v>
      </c>
      <c r="F191" t="inlineStr">
        <is>
          <t>West</t>
        </is>
      </c>
    </row>
    <row r="192">
      <c r="A192" t="inlineStr">
        <is>
          <t>T0191</t>
        </is>
      </c>
      <c r="B192" t="inlineStr">
        <is>
          <t>2024-11-08</t>
        </is>
      </c>
      <c r="C192" t="inlineStr">
        <is>
          <t>P010</t>
        </is>
      </c>
      <c r="D192" t="n">
        <v>2</v>
      </c>
      <c r="E192" t="n">
        <v>176</v>
      </c>
      <c r="F192" t="inlineStr">
        <is>
          <t>East</t>
        </is>
      </c>
    </row>
    <row r="193">
      <c r="A193" t="inlineStr">
        <is>
          <t>T0192</t>
        </is>
      </c>
      <c r="B193" t="inlineStr">
        <is>
          <t>2024-05-01</t>
        </is>
      </c>
      <c r="C193" t="inlineStr">
        <is>
          <t>P027</t>
        </is>
      </c>
      <c r="D193" t="n">
        <v>9</v>
      </c>
      <c r="E193" t="n">
        <v>499</v>
      </c>
      <c r="F193" t="inlineStr">
        <is>
          <t>East</t>
        </is>
      </c>
    </row>
    <row r="194">
      <c r="A194" t="inlineStr">
        <is>
          <t>T0193</t>
        </is>
      </c>
      <c r="B194" t="inlineStr">
        <is>
          <t>2024-09-13</t>
        </is>
      </c>
      <c r="C194" t="inlineStr">
        <is>
          <t>P043</t>
        </is>
      </c>
      <c r="D194" t="n">
        <v>4</v>
      </c>
      <c r="E194" t="n">
        <v>110</v>
      </c>
      <c r="F194" t="inlineStr">
        <is>
          <t>North</t>
        </is>
      </c>
    </row>
    <row r="195">
      <c r="A195" t="inlineStr">
        <is>
          <t>T0194</t>
        </is>
      </c>
      <c r="B195" t="inlineStr">
        <is>
          <t>2024-06-14</t>
        </is>
      </c>
      <c r="C195" t="inlineStr">
        <is>
          <t>P038</t>
        </is>
      </c>
      <c r="D195" t="n">
        <v>4</v>
      </c>
      <c r="E195" t="n">
        <v>263</v>
      </c>
      <c r="F195" t="inlineStr">
        <is>
          <t>West</t>
        </is>
      </c>
    </row>
    <row r="196">
      <c r="A196" t="inlineStr">
        <is>
          <t>T0195</t>
        </is>
      </c>
      <c r="B196" t="inlineStr">
        <is>
          <t>2024-02-29</t>
        </is>
      </c>
      <c r="C196" t="inlineStr">
        <is>
          <t>P025</t>
        </is>
      </c>
      <c r="D196" t="n">
        <v>18</v>
      </c>
      <c r="E196" t="n">
        <v>216</v>
      </c>
      <c r="F196" t="inlineStr">
        <is>
          <t>East</t>
        </is>
      </c>
    </row>
    <row r="197">
      <c r="A197" t="inlineStr">
        <is>
          <t>T0196</t>
        </is>
      </c>
      <c r="B197" t="inlineStr">
        <is>
          <t>2024-11-09</t>
        </is>
      </c>
      <c r="C197" t="inlineStr">
        <is>
          <t>P039</t>
        </is>
      </c>
      <c r="D197" t="n">
        <v>20</v>
      </c>
      <c r="E197" t="n">
        <v>471</v>
      </c>
      <c r="F197" t="inlineStr">
        <is>
          <t>West</t>
        </is>
      </c>
    </row>
    <row r="198">
      <c r="A198" t="inlineStr">
        <is>
          <t>T0197</t>
        </is>
      </c>
      <c r="B198" t="inlineStr">
        <is>
          <t>2024-02-02</t>
        </is>
      </c>
      <c r="C198" t="inlineStr">
        <is>
          <t>P023</t>
        </is>
      </c>
      <c r="D198" t="n">
        <v>1</v>
      </c>
      <c r="E198" t="n">
        <v>308</v>
      </c>
      <c r="F198" t="inlineStr">
        <is>
          <t>West</t>
        </is>
      </c>
    </row>
    <row r="199">
      <c r="A199" t="inlineStr">
        <is>
          <t>T0198</t>
        </is>
      </c>
      <c r="B199" t="inlineStr">
        <is>
          <t>2024-11-17</t>
        </is>
      </c>
      <c r="C199" t="inlineStr">
        <is>
          <t>P016</t>
        </is>
      </c>
      <c r="D199" t="n">
        <v>10</v>
      </c>
      <c r="E199" t="n">
        <v>159</v>
      </c>
      <c r="F199" t="inlineStr">
        <is>
          <t>South</t>
        </is>
      </c>
    </row>
    <row r="200">
      <c r="A200" t="inlineStr">
        <is>
          <t>T0199</t>
        </is>
      </c>
      <c r="B200" t="inlineStr">
        <is>
          <t>2024-01-06</t>
        </is>
      </c>
      <c r="C200" t="inlineStr">
        <is>
          <t>P003</t>
        </is>
      </c>
      <c r="D200" t="n">
        <v>16</v>
      </c>
      <c r="E200" t="n">
        <v>322</v>
      </c>
      <c r="F200" t="inlineStr">
        <is>
          <t>North</t>
        </is>
      </c>
    </row>
    <row r="201">
      <c r="A201" t="inlineStr">
        <is>
          <t>T0200</t>
        </is>
      </c>
      <c r="B201" t="inlineStr">
        <is>
          <t>2024-03-31</t>
        </is>
      </c>
      <c r="C201" t="inlineStr">
        <is>
          <t>P048</t>
        </is>
      </c>
      <c r="D201" t="n">
        <v>6</v>
      </c>
      <c r="E201" t="n">
        <v>332</v>
      </c>
      <c r="F201" t="inlineStr">
        <is>
          <t>North</t>
        </is>
      </c>
    </row>
    <row r="202">
      <c r="A202" t="inlineStr">
        <is>
          <t>T0201</t>
        </is>
      </c>
      <c r="B202" t="inlineStr">
        <is>
          <t>2024-06-07</t>
        </is>
      </c>
      <c r="C202" t="inlineStr">
        <is>
          <t>P047</t>
        </is>
      </c>
      <c r="D202" t="n">
        <v>4</v>
      </c>
      <c r="E202" t="n">
        <v>147</v>
      </c>
      <c r="F202" t="inlineStr">
        <is>
          <t>West</t>
        </is>
      </c>
    </row>
    <row r="203">
      <c r="A203" t="inlineStr">
        <is>
          <t>T0202</t>
        </is>
      </c>
      <c r="B203" t="inlineStr">
        <is>
          <t>2024-07-10</t>
        </is>
      </c>
      <c r="C203" t="inlineStr">
        <is>
          <t>P029</t>
        </is>
      </c>
      <c r="D203" t="n">
        <v>6</v>
      </c>
      <c r="E203" t="n">
        <v>282</v>
      </c>
      <c r="F203" t="inlineStr">
        <is>
          <t>West</t>
        </is>
      </c>
    </row>
    <row r="204">
      <c r="A204" t="inlineStr">
        <is>
          <t>T0203</t>
        </is>
      </c>
      <c r="B204" t="inlineStr">
        <is>
          <t>2024-11-14</t>
        </is>
      </c>
      <c r="C204" t="inlineStr">
        <is>
          <t>P030</t>
        </is>
      </c>
      <c r="D204" t="n">
        <v>14</v>
      </c>
      <c r="E204" t="n">
        <v>258</v>
      </c>
      <c r="F204" t="inlineStr">
        <is>
          <t>North</t>
        </is>
      </c>
    </row>
    <row r="205">
      <c r="A205" t="inlineStr">
        <is>
          <t>T0204</t>
        </is>
      </c>
      <c r="B205" t="inlineStr">
        <is>
          <t>2024-07-01</t>
        </is>
      </c>
      <c r="C205" t="inlineStr">
        <is>
          <t>P043</t>
        </is>
      </c>
      <c r="D205" t="n">
        <v>13</v>
      </c>
      <c r="E205" t="n">
        <v>406</v>
      </c>
      <c r="F205" t="inlineStr">
        <is>
          <t>East</t>
        </is>
      </c>
    </row>
    <row r="206">
      <c r="A206" t="inlineStr">
        <is>
          <t>T0205</t>
        </is>
      </c>
      <c r="B206" t="inlineStr">
        <is>
          <t>2024-02-28</t>
        </is>
      </c>
      <c r="C206" t="inlineStr">
        <is>
          <t>P042</t>
        </is>
      </c>
      <c r="D206" t="n">
        <v>9</v>
      </c>
      <c r="E206" t="n">
        <v>294</v>
      </c>
      <c r="F206" t="inlineStr">
        <is>
          <t>South</t>
        </is>
      </c>
    </row>
    <row r="207">
      <c r="A207" t="inlineStr">
        <is>
          <t>T0206</t>
        </is>
      </c>
      <c r="B207" t="inlineStr">
        <is>
          <t>2024-04-29</t>
        </is>
      </c>
      <c r="C207" t="inlineStr">
        <is>
          <t>P027</t>
        </is>
      </c>
      <c r="D207" t="n">
        <v>10</v>
      </c>
      <c r="E207" t="n">
        <v>296</v>
      </c>
      <c r="F207" t="inlineStr">
        <is>
          <t>West</t>
        </is>
      </c>
    </row>
    <row r="208">
      <c r="A208" t="inlineStr">
        <is>
          <t>T0207</t>
        </is>
      </c>
      <c r="B208" t="inlineStr">
        <is>
          <t>2024-05-21</t>
        </is>
      </c>
      <c r="C208" t="inlineStr">
        <is>
          <t>P030</t>
        </is>
      </c>
      <c r="D208" t="n">
        <v>19</v>
      </c>
      <c r="E208" t="n">
        <v>417</v>
      </c>
      <c r="F208" t="inlineStr">
        <is>
          <t>North</t>
        </is>
      </c>
    </row>
    <row r="209">
      <c r="A209" t="inlineStr">
        <is>
          <t>T0208</t>
        </is>
      </c>
      <c r="B209" t="inlineStr">
        <is>
          <t>2024-01-09</t>
        </is>
      </c>
      <c r="C209" t="inlineStr">
        <is>
          <t>P008</t>
        </is>
      </c>
      <c r="D209" t="n">
        <v>9</v>
      </c>
      <c r="E209" t="n">
        <v>70</v>
      </c>
      <c r="F209" t="inlineStr">
        <is>
          <t>West</t>
        </is>
      </c>
    </row>
    <row r="210">
      <c r="A210" t="inlineStr">
        <is>
          <t>T0209</t>
        </is>
      </c>
      <c r="B210" t="inlineStr">
        <is>
          <t>2024-02-10</t>
        </is>
      </c>
      <c r="C210" t="inlineStr">
        <is>
          <t>P022</t>
        </is>
      </c>
      <c r="D210" t="n">
        <v>1</v>
      </c>
      <c r="E210" t="n">
        <v>93</v>
      </c>
      <c r="F210" t="inlineStr">
        <is>
          <t>South</t>
        </is>
      </c>
    </row>
    <row r="211">
      <c r="A211" t="inlineStr">
        <is>
          <t>T0210</t>
        </is>
      </c>
      <c r="B211" t="inlineStr">
        <is>
          <t>2024-03-02</t>
        </is>
      </c>
      <c r="C211" t="inlineStr">
        <is>
          <t>P005</t>
        </is>
      </c>
      <c r="D211" t="n">
        <v>11</v>
      </c>
      <c r="E211" t="n">
        <v>404</v>
      </c>
      <c r="F211" t="inlineStr">
        <is>
          <t>West</t>
        </is>
      </c>
    </row>
    <row r="212">
      <c r="A212" t="inlineStr">
        <is>
          <t>T0211</t>
        </is>
      </c>
      <c r="B212" t="inlineStr">
        <is>
          <t>2024-01-06</t>
        </is>
      </c>
      <c r="C212" t="inlineStr">
        <is>
          <t>P042</t>
        </is>
      </c>
      <c r="D212" t="n">
        <v>14</v>
      </c>
      <c r="E212" t="n">
        <v>482</v>
      </c>
      <c r="F212" t="inlineStr">
        <is>
          <t>West</t>
        </is>
      </c>
    </row>
    <row r="213">
      <c r="A213" t="inlineStr">
        <is>
          <t>T0212</t>
        </is>
      </c>
      <c r="B213" t="inlineStr">
        <is>
          <t>2024-10-12</t>
        </is>
      </c>
      <c r="C213" t="inlineStr">
        <is>
          <t>P029</t>
        </is>
      </c>
      <c r="D213" t="n">
        <v>5</v>
      </c>
      <c r="E213" t="n">
        <v>52</v>
      </c>
      <c r="F213" t="inlineStr">
        <is>
          <t>North</t>
        </is>
      </c>
    </row>
    <row r="214">
      <c r="A214" t="inlineStr">
        <is>
          <t>T0213</t>
        </is>
      </c>
      <c r="B214" t="inlineStr">
        <is>
          <t>2024-07-13</t>
        </is>
      </c>
      <c r="C214" t="inlineStr">
        <is>
          <t>P042</t>
        </is>
      </c>
      <c r="D214" t="n">
        <v>8</v>
      </c>
      <c r="E214" t="n">
        <v>391</v>
      </c>
      <c r="F214" t="inlineStr">
        <is>
          <t>East</t>
        </is>
      </c>
    </row>
    <row r="215">
      <c r="A215" t="inlineStr">
        <is>
          <t>T0214</t>
        </is>
      </c>
      <c r="B215" t="inlineStr">
        <is>
          <t>2024-12-02</t>
        </is>
      </c>
      <c r="C215" t="inlineStr">
        <is>
          <t>P013</t>
        </is>
      </c>
      <c r="D215" t="n">
        <v>3</v>
      </c>
      <c r="E215" t="n">
        <v>54</v>
      </c>
      <c r="F215" t="inlineStr">
        <is>
          <t>North</t>
        </is>
      </c>
    </row>
    <row r="216">
      <c r="A216" t="inlineStr">
        <is>
          <t>T0215</t>
        </is>
      </c>
      <c r="B216" t="inlineStr">
        <is>
          <t>2024-10-24</t>
        </is>
      </c>
      <c r="C216" t="inlineStr">
        <is>
          <t>P032</t>
        </is>
      </c>
      <c r="D216" t="n">
        <v>8</v>
      </c>
      <c r="E216" t="n">
        <v>206</v>
      </c>
      <c r="F216" t="inlineStr">
        <is>
          <t>West</t>
        </is>
      </c>
    </row>
    <row r="217">
      <c r="A217" t="inlineStr">
        <is>
          <t>T0216</t>
        </is>
      </c>
      <c r="B217" t="inlineStr">
        <is>
          <t>2024-10-22</t>
        </is>
      </c>
      <c r="C217" t="inlineStr">
        <is>
          <t>P019</t>
        </is>
      </c>
      <c r="D217" t="n">
        <v>13</v>
      </c>
      <c r="E217" t="n">
        <v>176</v>
      </c>
      <c r="F217" t="inlineStr">
        <is>
          <t>South</t>
        </is>
      </c>
    </row>
    <row r="218">
      <c r="A218" t="inlineStr">
        <is>
          <t>T0217</t>
        </is>
      </c>
      <c r="B218" t="inlineStr">
        <is>
          <t>2024-07-11</t>
        </is>
      </c>
      <c r="C218" t="inlineStr">
        <is>
          <t>P013</t>
        </is>
      </c>
      <c r="D218" t="n">
        <v>8</v>
      </c>
      <c r="E218" t="n">
        <v>481</v>
      </c>
      <c r="F218" t="inlineStr">
        <is>
          <t>North</t>
        </is>
      </c>
    </row>
    <row r="219">
      <c r="A219" t="inlineStr">
        <is>
          <t>T0218</t>
        </is>
      </c>
      <c r="B219" t="inlineStr">
        <is>
          <t>2024-05-28</t>
        </is>
      </c>
      <c r="C219" t="inlineStr">
        <is>
          <t>P025</t>
        </is>
      </c>
      <c r="D219" t="n">
        <v>20</v>
      </c>
      <c r="E219" t="n">
        <v>283</v>
      </c>
      <c r="F219" t="inlineStr">
        <is>
          <t>East</t>
        </is>
      </c>
    </row>
    <row r="220">
      <c r="A220" t="inlineStr">
        <is>
          <t>T0219</t>
        </is>
      </c>
      <c r="B220" t="inlineStr">
        <is>
          <t>2024-09-14</t>
        </is>
      </c>
      <c r="C220" t="inlineStr">
        <is>
          <t>P010</t>
        </is>
      </c>
      <c r="D220" t="n">
        <v>19</v>
      </c>
      <c r="E220" t="n">
        <v>166</v>
      </c>
      <c r="F220" t="inlineStr">
        <is>
          <t>East</t>
        </is>
      </c>
    </row>
    <row r="221">
      <c r="A221" t="inlineStr">
        <is>
          <t>T0220</t>
        </is>
      </c>
      <c r="B221" t="inlineStr">
        <is>
          <t>2024-01-17</t>
        </is>
      </c>
      <c r="C221" t="inlineStr">
        <is>
          <t>P046</t>
        </is>
      </c>
      <c r="D221" t="n">
        <v>8</v>
      </c>
      <c r="E221" t="n">
        <v>485</v>
      </c>
      <c r="F221" t="inlineStr">
        <is>
          <t>South</t>
        </is>
      </c>
    </row>
    <row r="222">
      <c r="A222" t="inlineStr">
        <is>
          <t>T0221</t>
        </is>
      </c>
      <c r="B222" t="inlineStr">
        <is>
          <t>2024-10-05</t>
        </is>
      </c>
      <c r="C222" t="inlineStr">
        <is>
          <t>P006</t>
        </is>
      </c>
      <c r="D222" t="n">
        <v>4</v>
      </c>
      <c r="E222" t="n">
        <v>301</v>
      </c>
      <c r="F222" t="inlineStr">
        <is>
          <t>North</t>
        </is>
      </c>
    </row>
    <row r="223">
      <c r="A223" t="inlineStr">
        <is>
          <t>T0222</t>
        </is>
      </c>
      <c r="B223" t="inlineStr">
        <is>
          <t>2024-02-22</t>
        </is>
      </c>
      <c r="C223" t="inlineStr">
        <is>
          <t>P022</t>
        </is>
      </c>
      <c r="D223" t="n">
        <v>3</v>
      </c>
      <c r="E223" t="n">
        <v>50</v>
      </c>
      <c r="F223" t="inlineStr">
        <is>
          <t>South</t>
        </is>
      </c>
    </row>
    <row r="224">
      <c r="A224" t="inlineStr">
        <is>
          <t>T0223</t>
        </is>
      </c>
      <c r="B224" t="inlineStr">
        <is>
          <t>2024-06-21</t>
        </is>
      </c>
      <c r="C224" t="inlineStr">
        <is>
          <t>P033</t>
        </is>
      </c>
      <c r="D224" t="n">
        <v>19</v>
      </c>
      <c r="E224" t="n">
        <v>339</v>
      </c>
      <c r="F224" t="inlineStr">
        <is>
          <t>West</t>
        </is>
      </c>
    </row>
    <row r="225">
      <c r="A225" t="inlineStr">
        <is>
          <t>T0224</t>
        </is>
      </c>
      <c r="B225" t="inlineStr">
        <is>
          <t>2024-04-10</t>
        </is>
      </c>
      <c r="C225" t="inlineStr">
        <is>
          <t>P021</t>
        </is>
      </c>
      <c r="D225" t="n">
        <v>2</v>
      </c>
      <c r="E225" t="n">
        <v>325</v>
      </c>
      <c r="F225" t="inlineStr">
        <is>
          <t>South</t>
        </is>
      </c>
    </row>
    <row r="226">
      <c r="A226" t="inlineStr">
        <is>
          <t>T0225</t>
        </is>
      </c>
      <c r="B226" t="inlineStr">
        <is>
          <t>2024-12-29</t>
        </is>
      </c>
      <c r="C226" t="inlineStr">
        <is>
          <t>P016</t>
        </is>
      </c>
      <c r="D226" t="n">
        <v>6</v>
      </c>
      <c r="E226" t="n">
        <v>343</v>
      </c>
      <c r="F226" t="inlineStr">
        <is>
          <t>East</t>
        </is>
      </c>
    </row>
    <row r="227">
      <c r="A227" t="inlineStr">
        <is>
          <t>T0226</t>
        </is>
      </c>
      <c r="B227" t="inlineStr">
        <is>
          <t>2024-05-17</t>
        </is>
      </c>
      <c r="C227" t="inlineStr">
        <is>
          <t>P015</t>
        </is>
      </c>
      <c r="D227" t="n">
        <v>19</v>
      </c>
      <c r="E227" t="n">
        <v>293</v>
      </c>
      <c r="F227" t="inlineStr">
        <is>
          <t>North</t>
        </is>
      </c>
    </row>
    <row r="228">
      <c r="A228" t="inlineStr">
        <is>
          <t>T0227</t>
        </is>
      </c>
      <c r="B228" t="inlineStr">
        <is>
          <t>2024-10-11</t>
        </is>
      </c>
      <c r="C228" t="inlineStr">
        <is>
          <t>P010</t>
        </is>
      </c>
      <c r="D228" t="n">
        <v>19</v>
      </c>
      <c r="E228" t="n">
        <v>188</v>
      </c>
      <c r="F228" t="inlineStr">
        <is>
          <t>West</t>
        </is>
      </c>
    </row>
    <row r="229">
      <c r="A229" t="inlineStr">
        <is>
          <t>T0228</t>
        </is>
      </c>
      <c r="B229" t="inlineStr">
        <is>
          <t>2024-05-13</t>
        </is>
      </c>
      <c r="C229" t="inlineStr">
        <is>
          <t>P042</t>
        </is>
      </c>
      <c r="D229" t="n">
        <v>16</v>
      </c>
      <c r="E229" t="n">
        <v>209</v>
      </c>
      <c r="F229" t="inlineStr">
        <is>
          <t>East</t>
        </is>
      </c>
    </row>
    <row r="230">
      <c r="A230" t="inlineStr">
        <is>
          <t>T0229</t>
        </is>
      </c>
      <c r="B230" t="inlineStr">
        <is>
          <t>2024-10-22</t>
        </is>
      </c>
      <c r="C230" t="inlineStr">
        <is>
          <t>P045</t>
        </is>
      </c>
      <c r="D230" t="n">
        <v>12</v>
      </c>
      <c r="E230" t="n">
        <v>382</v>
      </c>
      <c r="F230" t="inlineStr">
        <is>
          <t>West</t>
        </is>
      </c>
    </row>
    <row r="231">
      <c r="A231" t="inlineStr">
        <is>
          <t>T0230</t>
        </is>
      </c>
      <c r="B231" t="inlineStr">
        <is>
          <t>2024-09-14</t>
        </is>
      </c>
      <c r="C231" t="inlineStr">
        <is>
          <t>P003</t>
        </is>
      </c>
      <c r="D231" t="n">
        <v>19</v>
      </c>
      <c r="E231" t="n">
        <v>129</v>
      </c>
      <c r="F231" t="inlineStr">
        <is>
          <t>North</t>
        </is>
      </c>
    </row>
    <row r="232">
      <c r="A232" t="inlineStr">
        <is>
          <t>T0231</t>
        </is>
      </c>
      <c r="B232" t="inlineStr">
        <is>
          <t>2024-05-28</t>
        </is>
      </c>
      <c r="C232" t="inlineStr">
        <is>
          <t>P030</t>
        </is>
      </c>
      <c r="D232" t="n">
        <v>6</v>
      </c>
      <c r="E232" t="n">
        <v>408</v>
      </c>
      <c r="F232" t="inlineStr">
        <is>
          <t>East</t>
        </is>
      </c>
    </row>
    <row r="233">
      <c r="A233" t="inlineStr">
        <is>
          <t>T0232</t>
        </is>
      </c>
      <c r="B233" t="inlineStr">
        <is>
          <t>2024-01-24</t>
        </is>
      </c>
      <c r="C233" t="inlineStr">
        <is>
          <t>P038</t>
        </is>
      </c>
      <c r="D233" t="n">
        <v>8</v>
      </c>
      <c r="E233" t="n">
        <v>271</v>
      </c>
      <c r="F233" t="inlineStr">
        <is>
          <t>South</t>
        </is>
      </c>
    </row>
    <row r="234">
      <c r="A234" t="inlineStr">
        <is>
          <t>T0233</t>
        </is>
      </c>
      <c r="B234" t="inlineStr">
        <is>
          <t>2024-03-15</t>
        </is>
      </c>
      <c r="C234" t="inlineStr">
        <is>
          <t>P030</t>
        </is>
      </c>
      <c r="D234" t="n">
        <v>9</v>
      </c>
      <c r="E234" t="n">
        <v>363</v>
      </c>
      <c r="F234" t="inlineStr">
        <is>
          <t>West</t>
        </is>
      </c>
    </row>
    <row r="235">
      <c r="A235" t="inlineStr">
        <is>
          <t>T0234</t>
        </is>
      </c>
      <c r="B235" t="inlineStr">
        <is>
          <t>2024-10-07</t>
        </is>
      </c>
      <c r="C235" t="inlineStr">
        <is>
          <t>P022</t>
        </is>
      </c>
      <c r="D235" t="n">
        <v>11</v>
      </c>
      <c r="E235" t="n">
        <v>305</v>
      </c>
      <c r="F235" t="inlineStr">
        <is>
          <t>South</t>
        </is>
      </c>
    </row>
    <row r="236">
      <c r="A236" t="inlineStr">
        <is>
          <t>T0235</t>
        </is>
      </c>
      <c r="B236" t="inlineStr">
        <is>
          <t>2024-10-29</t>
        </is>
      </c>
      <c r="C236" t="inlineStr">
        <is>
          <t>P020</t>
        </is>
      </c>
      <c r="D236" t="n">
        <v>5</v>
      </c>
      <c r="E236" t="n">
        <v>371</v>
      </c>
      <c r="F236" t="inlineStr">
        <is>
          <t>West</t>
        </is>
      </c>
    </row>
    <row r="237">
      <c r="A237" t="inlineStr">
        <is>
          <t>T0236</t>
        </is>
      </c>
      <c r="B237" t="inlineStr">
        <is>
          <t>2024-07-26</t>
        </is>
      </c>
      <c r="C237" t="inlineStr">
        <is>
          <t>P027</t>
        </is>
      </c>
      <c r="D237" t="n">
        <v>8</v>
      </c>
      <c r="E237" t="n">
        <v>275</v>
      </c>
      <c r="F237" t="inlineStr">
        <is>
          <t>South</t>
        </is>
      </c>
    </row>
    <row r="238">
      <c r="A238" t="inlineStr">
        <is>
          <t>T0237</t>
        </is>
      </c>
      <c r="B238" t="inlineStr">
        <is>
          <t>2024-09-03</t>
        </is>
      </c>
      <c r="C238" t="inlineStr">
        <is>
          <t>P002</t>
        </is>
      </c>
      <c r="D238" t="n">
        <v>11</v>
      </c>
      <c r="E238" t="n">
        <v>98</v>
      </c>
      <c r="F238" t="inlineStr">
        <is>
          <t>East</t>
        </is>
      </c>
    </row>
    <row r="239">
      <c r="A239" t="inlineStr">
        <is>
          <t>T0238</t>
        </is>
      </c>
      <c r="B239" t="inlineStr">
        <is>
          <t>2024-07-09</t>
        </is>
      </c>
      <c r="C239" t="inlineStr">
        <is>
          <t>P045</t>
        </is>
      </c>
      <c r="D239" t="n">
        <v>15</v>
      </c>
      <c r="E239" t="n">
        <v>380</v>
      </c>
      <c r="F239" t="inlineStr">
        <is>
          <t>West</t>
        </is>
      </c>
    </row>
    <row r="240">
      <c r="A240" t="inlineStr">
        <is>
          <t>T0239</t>
        </is>
      </c>
      <c r="B240" t="inlineStr">
        <is>
          <t>2024-05-19</t>
        </is>
      </c>
      <c r="C240" t="inlineStr">
        <is>
          <t>P011</t>
        </is>
      </c>
      <c r="D240" t="n">
        <v>3</v>
      </c>
      <c r="E240" t="n">
        <v>309</v>
      </c>
      <c r="F240" t="inlineStr">
        <is>
          <t>South</t>
        </is>
      </c>
    </row>
    <row r="241">
      <c r="A241" t="inlineStr">
        <is>
          <t>T0240</t>
        </is>
      </c>
      <c r="B241" t="inlineStr">
        <is>
          <t>2024-01-29</t>
        </is>
      </c>
      <c r="C241" t="inlineStr">
        <is>
          <t>P043</t>
        </is>
      </c>
      <c r="D241" t="n">
        <v>10</v>
      </c>
      <c r="E241" t="n">
        <v>77</v>
      </c>
      <c r="F241" t="inlineStr">
        <is>
          <t>South</t>
        </is>
      </c>
    </row>
    <row r="242">
      <c r="A242" t="inlineStr">
        <is>
          <t>T0241</t>
        </is>
      </c>
      <c r="B242" t="inlineStr">
        <is>
          <t>2024-10-26</t>
        </is>
      </c>
      <c r="C242" t="inlineStr">
        <is>
          <t>P046</t>
        </is>
      </c>
      <c r="D242" t="n">
        <v>2</v>
      </c>
      <c r="E242" t="n">
        <v>402</v>
      </c>
      <c r="F242" t="inlineStr">
        <is>
          <t>East</t>
        </is>
      </c>
    </row>
    <row r="243">
      <c r="A243" t="inlineStr">
        <is>
          <t>T0242</t>
        </is>
      </c>
      <c r="B243" t="inlineStr">
        <is>
          <t>2024-08-24</t>
        </is>
      </c>
      <c r="C243" t="inlineStr">
        <is>
          <t>P017</t>
        </is>
      </c>
      <c r="D243" t="n">
        <v>12</v>
      </c>
      <c r="E243" t="n">
        <v>175</v>
      </c>
      <c r="F243" t="inlineStr">
        <is>
          <t>West</t>
        </is>
      </c>
    </row>
    <row r="244">
      <c r="A244" t="inlineStr">
        <is>
          <t>T0243</t>
        </is>
      </c>
      <c r="B244" t="inlineStr">
        <is>
          <t>2024-06-23</t>
        </is>
      </c>
      <c r="C244" t="inlineStr">
        <is>
          <t>P009</t>
        </is>
      </c>
      <c r="D244" t="n">
        <v>15</v>
      </c>
      <c r="E244" t="n">
        <v>387</v>
      </c>
      <c r="F244" t="inlineStr">
        <is>
          <t>North</t>
        </is>
      </c>
    </row>
    <row r="245">
      <c r="A245" t="inlineStr">
        <is>
          <t>T0244</t>
        </is>
      </c>
      <c r="B245" t="inlineStr">
        <is>
          <t>2024-04-25</t>
        </is>
      </c>
      <c r="C245" t="inlineStr">
        <is>
          <t>P024</t>
        </is>
      </c>
      <c r="D245" t="n">
        <v>13</v>
      </c>
      <c r="E245" t="n">
        <v>466</v>
      </c>
      <c r="F245" t="inlineStr">
        <is>
          <t>South</t>
        </is>
      </c>
    </row>
    <row r="246">
      <c r="A246" t="inlineStr">
        <is>
          <t>T0245</t>
        </is>
      </c>
      <c r="B246" t="inlineStr">
        <is>
          <t>2024-03-15</t>
        </is>
      </c>
      <c r="C246" t="inlineStr">
        <is>
          <t>P032</t>
        </is>
      </c>
      <c r="D246" t="n">
        <v>13</v>
      </c>
      <c r="E246" t="n">
        <v>349</v>
      </c>
      <c r="F246" t="inlineStr">
        <is>
          <t>South</t>
        </is>
      </c>
    </row>
    <row r="247">
      <c r="A247" t="inlineStr">
        <is>
          <t>T0246</t>
        </is>
      </c>
      <c r="B247" t="inlineStr">
        <is>
          <t>2024-02-25</t>
        </is>
      </c>
      <c r="C247" t="inlineStr">
        <is>
          <t>P012</t>
        </is>
      </c>
      <c r="D247" t="n">
        <v>15</v>
      </c>
      <c r="E247" t="n">
        <v>355</v>
      </c>
      <c r="F247" t="inlineStr">
        <is>
          <t>East</t>
        </is>
      </c>
    </row>
    <row r="248">
      <c r="A248" t="inlineStr">
        <is>
          <t>T0247</t>
        </is>
      </c>
      <c r="B248" t="inlineStr">
        <is>
          <t>2024-06-08</t>
        </is>
      </c>
      <c r="C248" t="inlineStr">
        <is>
          <t>P043</t>
        </is>
      </c>
      <c r="D248" t="n">
        <v>10</v>
      </c>
      <c r="E248" t="n">
        <v>120</v>
      </c>
      <c r="F248" t="inlineStr">
        <is>
          <t>South</t>
        </is>
      </c>
    </row>
    <row r="249">
      <c r="A249" t="inlineStr">
        <is>
          <t>T0248</t>
        </is>
      </c>
      <c r="B249" t="inlineStr">
        <is>
          <t>2024-04-21</t>
        </is>
      </c>
      <c r="C249" t="inlineStr">
        <is>
          <t>P030</t>
        </is>
      </c>
      <c r="D249" t="n">
        <v>2</v>
      </c>
      <c r="E249" t="n">
        <v>329</v>
      </c>
      <c r="F249" t="inlineStr">
        <is>
          <t>West</t>
        </is>
      </c>
    </row>
    <row r="250">
      <c r="A250" t="inlineStr">
        <is>
          <t>T0249</t>
        </is>
      </c>
      <c r="B250" t="inlineStr">
        <is>
          <t>2024-10-19</t>
        </is>
      </c>
      <c r="C250" t="inlineStr">
        <is>
          <t>P017</t>
        </is>
      </c>
      <c r="D250" t="n">
        <v>2</v>
      </c>
      <c r="E250" t="n">
        <v>52</v>
      </c>
      <c r="F250" t="inlineStr">
        <is>
          <t>West</t>
        </is>
      </c>
    </row>
    <row r="251">
      <c r="A251" t="inlineStr">
        <is>
          <t>T0250</t>
        </is>
      </c>
      <c r="B251" t="inlineStr">
        <is>
          <t>2024-11-17</t>
        </is>
      </c>
      <c r="C251" t="inlineStr">
        <is>
          <t>P034</t>
        </is>
      </c>
      <c r="D251" t="n">
        <v>20</v>
      </c>
      <c r="E251" t="n">
        <v>370</v>
      </c>
      <c r="F251" t="inlineStr">
        <is>
          <t>East</t>
        </is>
      </c>
    </row>
    <row r="252">
      <c r="A252" t="inlineStr">
        <is>
          <t>T0251</t>
        </is>
      </c>
      <c r="B252" t="inlineStr">
        <is>
          <t>2024-01-27</t>
        </is>
      </c>
      <c r="C252" t="inlineStr">
        <is>
          <t>P005</t>
        </is>
      </c>
      <c r="D252" t="n">
        <v>11</v>
      </c>
      <c r="E252" t="n">
        <v>164</v>
      </c>
      <c r="F252" t="inlineStr">
        <is>
          <t>North</t>
        </is>
      </c>
    </row>
    <row r="253">
      <c r="A253" t="inlineStr">
        <is>
          <t>T0252</t>
        </is>
      </c>
      <c r="B253" t="inlineStr">
        <is>
          <t>2024-10-19</t>
        </is>
      </c>
      <c r="C253" t="inlineStr">
        <is>
          <t>P002</t>
        </is>
      </c>
      <c r="D253" t="n">
        <v>14</v>
      </c>
      <c r="E253" t="n">
        <v>62</v>
      </c>
      <c r="F253" t="inlineStr">
        <is>
          <t>West</t>
        </is>
      </c>
    </row>
    <row r="254">
      <c r="A254" t="inlineStr">
        <is>
          <t>T0253</t>
        </is>
      </c>
      <c r="B254" t="inlineStr">
        <is>
          <t>2024-06-06</t>
        </is>
      </c>
      <c r="C254" t="inlineStr">
        <is>
          <t>P019</t>
        </is>
      </c>
      <c r="D254" t="n">
        <v>6</v>
      </c>
      <c r="E254" t="n">
        <v>143</v>
      </c>
      <c r="F254" t="inlineStr">
        <is>
          <t>South</t>
        </is>
      </c>
    </row>
    <row r="255">
      <c r="A255" t="inlineStr">
        <is>
          <t>T0254</t>
        </is>
      </c>
      <c r="B255" t="inlineStr">
        <is>
          <t>2024-12-30</t>
        </is>
      </c>
      <c r="C255" t="inlineStr">
        <is>
          <t>P015</t>
        </is>
      </c>
      <c r="D255" t="n">
        <v>17</v>
      </c>
      <c r="E255" t="n">
        <v>487</v>
      </c>
      <c r="F255" t="inlineStr">
        <is>
          <t>East</t>
        </is>
      </c>
    </row>
    <row r="256">
      <c r="A256" t="inlineStr">
        <is>
          <t>T0255</t>
        </is>
      </c>
      <c r="B256" t="inlineStr">
        <is>
          <t>2024-04-12</t>
        </is>
      </c>
      <c r="C256" t="inlineStr">
        <is>
          <t>P005</t>
        </is>
      </c>
      <c r="D256" t="n">
        <v>10</v>
      </c>
      <c r="E256" t="n">
        <v>402</v>
      </c>
      <c r="F256" t="inlineStr">
        <is>
          <t>North</t>
        </is>
      </c>
    </row>
    <row r="257">
      <c r="A257" t="inlineStr">
        <is>
          <t>T0256</t>
        </is>
      </c>
      <c r="B257" t="inlineStr">
        <is>
          <t>2024-11-29</t>
        </is>
      </c>
      <c r="C257" t="inlineStr">
        <is>
          <t>P050</t>
        </is>
      </c>
      <c r="D257" t="n">
        <v>1</v>
      </c>
      <c r="E257" t="n">
        <v>263</v>
      </c>
      <c r="F257" t="inlineStr">
        <is>
          <t>South</t>
        </is>
      </c>
    </row>
    <row r="258">
      <c r="A258" t="inlineStr">
        <is>
          <t>T0257</t>
        </is>
      </c>
      <c r="B258" t="inlineStr">
        <is>
          <t>2024-05-16</t>
        </is>
      </c>
      <c r="C258" t="inlineStr">
        <is>
          <t>P021</t>
        </is>
      </c>
      <c r="D258" t="n">
        <v>7</v>
      </c>
      <c r="E258" t="n">
        <v>274</v>
      </c>
      <c r="F258" t="inlineStr">
        <is>
          <t>North</t>
        </is>
      </c>
    </row>
    <row r="259">
      <c r="A259" t="inlineStr">
        <is>
          <t>T0258</t>
        </is>
      </c>
      <c r="B259" t="inlineStr">
        <is>
          <t>2024-04-05</t>
        </is>
      </c>
      <c r="C259" t="inlineStr">
        <is>
          <t>P030</t>
        </is>
      </c>
      <c r="D259" t="n">
        <v>13</v>
      </c>
      <c r="E259" t="n">
        <v>432</v>
      </c>
      <c r="F259" t="inlineStr">
        <is>
          <t>West</t>
        </is>
      </c>
    </row>
    <row r="260">
      <c r="A260" t="inlineStr">
        <is>
          <t>T0259</t>
        </is>
      </c>
      <c r="B260" t="inlineStr">
        <is>
          <t>2024-07-13</t>
        </is>
      </c>
      <c r="C260" t="inlineStr">
        <is>
          <t>P013</t>
        </is>
      </c>
      <c r="D260" t="n">
        <v>4</v>
      </c>
      <c r="E260" t="n">
        <v>54</v>
      </c>
      <c r="F260" t="inlineStr">
        <is>
          <t>East</t>
        </is>
      </c>
    </row>
    <row r="261">
      <c r="A261" t="inlineStr">
        <is>
          <t>T0260</t>
        </is>
      </c>
      <c r="B261" t="inlineStr">
        <is>
          <t>2024-12-12</t>
        </is>
      </c>
      <c r="C261" t="inlineStr">
        <is>
          <t>P036</t>
        </is>
      </c>
      <c r="D261" t="n">
        <v>8</v>
      </c>
      <c r="E261" t="n">
        <v>87</v>
      </c>
      <c r="F261" t="inlineStr">
        <is>
          <t>West</t>
        </is>
      </c>
    </row>
    <row r="262">
      <c r="A262" t="inlineStr">
        <is>
          <t>T0261</t>
        </is>
      </c>
      <c r="B262" t="inlineStr">
        <is>
          <t>2024-05-07</t>
        </is>
      </c>
      <c r="C262" t="inlineStr">
        <is>
          <t>P001</t>
        </is>
      </c>
      <c r="D262" t="n">
        <v>12</v>
      </c>
      <c r="E262" t="n">
        <v>207</v>
      </c>
      <c r="F262" t="inlineStr">
        <is>
          <t>South</t>
        </is>
      </c>
    </row>
    <row r="263">
      <c r="A263" t="inlineStr">
        <is>
          <t>T0262</t>
        </is>
      </c>
      <c r="B263" t="inlineStr">
        <is>
          <t>2024-01-08</t>
        </is>
      </c>
      <c r="C263" t="inlineStr">
        <is>
          <t>P018</t>
        </is>
      </c>
      <c r="D263" t="n">
        <v>14</v>
      </c>
      <c r="E263" t="n">
        <v>449</v>
      </c>
      <c r="F263" t="inlineStr">
        <is>
          <t>West</t>
        </is>
      </c>
    </row>
    <row r="264">
      <c r="A264" t="inlineStr">
        <is>
          <t>T0263</t>
        </is>
      </c>
      <c r="B264" t="inlineStr">
        <is>
          <t>2024-01-31</t>
        </is>
      </c>
      <c r="C264" t="inlineStr">
        <is>
          <t>P027</t>
        </is>
      </c>
      <c r="D264" t="n">
        <v>2</v>
      </c>
      <c r="E264" t="n">
        <v>475</v>
      </c>
      <c r="F264" t="inlineStr">
        <is>
          <t>West</t>
        </is>
      </c>
    </row>
    <row r="265">
      <c r="A265" t="inlineStr">
        <is>
          <t>T0264</t>
        </is>
      </c>
      <c r="B265" t="inlineStr">
        <is>
          <t>2024-07-29</t>
        </is>
      </c>
      <c r="C265" t="inlineStr">
        <is>
          <t>P025</t>
        </is>
      </c>
      <c r="D265" t="n">
        <v>10</v>
      </c>
      <c r="E265" t="n">
        <v>59</v>
      </c>
      <c r="F265" t="inlineStr">
        <is>
          <t>South</t>
        </is>
      </c>
    </row>
    <row r="266">
      <c r="A266" t="inlineStr">
        <is>
          <t>T0265</t>
        </is>
      </c>
      <c r="B266" t="inlineStr">
        <is>
          <t>2024-12-02</t>
        </is>
      </c>
      <c r="C266" t="inlineStr">
        <is>
          <t>P050</t>
        </is>
      </c>
      <c r="D266" t="n">
        <v>2</v>
      </c>
      <c r="E266" t="n">
        <v>331</v>
      </c>
      <c r="F266" t="inlineStr">
        <is>
          <t>North</t>
        </is>
      </c>
    </row>
    <row r="267">
      <c r="A267" t="inlineStr">
        <is>
          <t>T0266</t>
        </is>
      </c>
      <c r="B267" t="inlineStr">
        <is>
          <t>2024-04-29</t>
        </is>
      </c>
      <c r="C267" t="inlineStr">
        <is>
          <t>P048</t>
        </is>
      </c>
      <c r="D267" t="n">
        <v>12</v>
      </c>
      <c r="E267" t="n">
        <v>76</v>
      </c>
      <c r="F267" t="inlineStr">
        <is>
          <t>North</t>
        </is>
      </c>
    </row>
    <row r="268">
      <c r="A268" t="inlineStr">
        <is>
          <t>T0267</t>
        </is>
      </c>
      <c r="B268" t="inlineStr">
        <is>
          <t>2024-11-19</t>
        </is>
      </c>
      <c r="C268" t="inlineStr">
        <is>
          <t>P007</t>
        </is>
      </c>
      <c r="D268" t="n">
        <v>7</v>
      </c>
      <c r="E268" t="n">
        <v>367</v>
      </c>
      <c r="F268" t="inlineStr">
        <is>
          <t>North</t>
        </is>
      </c>
    </row>
    <row r="269">
      <c r="A269" t="inlineStr">
        <is>
          <t>T0268</t>
        </is>
      </c>
      <c r="B269" t="inlineStr">
        <is>
          <t>2024-03-26</t>
        </is>
      </c>
      <c r="C269" t="inlineStr">
        <is>
          <t>P017</t>
        </is>
      </c>
      <c r="D269" t="n">
        <v>20</v>
      </c>
      <c r="E269" t="n">
        <v>493</v>
      </c>
      <c r="F269" t="inlineStr">
        <is>
          <t>North</t>
        </is>
      </c>
    </row>
    <row r="270">
      <c r="A270" t="inlineStr">
        <is>
          <t>T0269</t>
        </is>
      </c>
      <c r="B270" t="inlineStr">
        <is>
          <t>2024-02-16</t>
        </is>
      </c>
      <c r="C270" t="inlineStr">
        <is>
          <t>P033</t>
        </is>
      </c>
      <c r="D270" t="n">
        <v>16</v>
      </c>
      <c r="E270" t="n">
        <v>81</v>
      </c>
      <c r="F270" t="inlineStr">
        <is>
          <t>South</t>
        </is>
      </c>
    </row>
    <row r="271">
      <c r="A271" t="inlineStr">
        <is>
          <t>T0270</t>
        </is>
      </c>
      <c r="B271" t="inlineStr">
        <is>
          <t>2024-09-27</t>
        </is>
      </c>
      <c r="C271" t="inlineStr">
        <is>
          <t>P032</t>
        </is>
      </c>
      <c r="D271" t="n">
        <v>4</v>
      </c>
      <c r="E271" t="n">
        <v>421</v>
      </c>
      <c r="F271" t="inlineStr">
        <is>
          <t>North</t>
        </is>
      </c>
    </row>
    <row r="272">
      <c r="A272" t="inlineStr">
        <is>
          <t>T0271</t>
        </is>
      </c>
      <c r="B272" t="inlineStr">
        <is>
          <t>2024-08-03</t>
        </is>
      </c>
      <c r="C272" t="inlineStr">
        <is>
          <t>P009</t>
        </is>
      </c>
      <c r="D272" t="n">
        <v>10</v>
      </c>
      <c r="E272" t="n">
        <v>284</v>
      </c>
      <c r="F272" t="inlineStr">
        <is>
          <t>East</t>
        </is>
      </c>
    </row>
    <row r="273">
      <c r="A273" t="inlineStr">
        <is>
          <t>T0272</t>
        </is>
      </c>
      <c r="B273" t="inlineStr">
        <is>
          <t>2024-01-26</t>
        </is>
      </c>
      <c r="C273" t="inlineStr">
        <is>
          <t>P013</t>
        </is>
      </c>
      <c r="D273" t="n">
        <v>15</v>
      </c>
      <c r="E273" t="n">
        <v>170</v>
      </c>
      <c r="F273" t="inlineStr">
        <is>
          <t>East</t>
        </is>
      </c>
    </row>
    <row r="274">
      <c r="A274" t="inlineStr">
        <is>
          <t>T0273</t>
        </is>
      </c>
      <c r="B274" t="inlineStr">
        <is>
          <t>2024-01-11</t>
        </is>
      </c>
      <c r="C274" t="inlineStr">
        <is>
          <t>P019</t>
        </is>
      </c>
      <c r="D274" t="n">
        <v>18</v>
      </c>
      <c r="E274" t="n">
        <v>229</v>
      </c>
      <c r="F274" t="inlineStr">
        <is>
          <t>North</t>
        </is>
      </c>
    </row>
    <row r="275">
      <c r="A275" t="inlineStr">
        <is>
          <t>T0274</t>
        </is>
      </c>
      <c r="B275" t="inlineStr">
        <is>
          <t>2024-06-17</t>
        </is>
      </c>
      <c r="C275" t="inlineStr">
        <is>
          <t>P022</t>
        </is>
      </c>
      <c r="D275" t="n">
        <v>16</v>
      </c>
      <c r="E275" t="n">
        <v>214</v>
      </c>
      <c r="F275" t="inlineStr">
        <is>
          <t>East</t>
        </is>
      </c>
    </row>
    <row r="276">
      <c r="A276" t="inlineStr">
        <is>
          <t>T0275</t>
        </is>
      </c>
      <c r="B276" t="inlineStr">
        <is>
          <t>2024-01-14</t>
        </is>
      </c>
      <c r="C276" t="inlineStr">
        <is>
          <t>P045</t>
        </is>
      </c>
      <c r="D276" t="n">
        <v>18</v>
      </c>
      <c r="E276" t="n">
        <v>282</v>
      </c>
      <c r="F276" t="inlineStr">
        <is>
          <t>East</t>
        </is>
      </c>
    </row>
    <row r="277">
      <c r="A277" t="inlineStr">
        <is>
          <t>T0276</t>
        </is>
      </c>
      <c r="B277" t="inlineStr">
        <is>
          <t>2024-11-05</t>
        </is>
      </c>
      <c r="C277" t="inlineStr">
        <is>
          <t>P041</t>
        </is>
      </c>
      <c r="D277" t="n">
        <v>1</v>
      </c>
      <c r="E277" t="n">
        <v>266</v>
      </c>
      <c r="F277" t="inlineStr">
        <is>
          <t>East</t>
        </is>
      </c>
    </row>
    <row r="278">
      <c r="A278" t="inlineStr">
        <is>
          <t>T0277</t>
        </is>
      </c>
      <c r="B278" t="inlineStr">
        <is>
          <t>2024-08-10</t>
        </is>
      </c>
      <c r="C278" t="inlineStr">
        <is>
          <t>P046</t>
        </is>
      </c>
      <c r="D278" t="n">
        <v>18</v>
      </c>
      <c r="E278" t="n">
        <v>487</v>
      </c>
      <c r="F278" t="inlineStr">
        <is>
          <t>East</t>
        </is>
      </c>
    </row>
    <row r="279">
      <c r="A279" t="inlineStr">
        <is>
          <t>T0278</t>
        </is>
      </c>
      <c r="B279" t="inlineStr">
        <is>
          <t>2024-01-11</t>
        </is>
      </c>
      <c r="C279" t="inlineStr">
        <is>
          <t>P029</t>
        </is>
      </c>
      <c r="D279" t="n">
        <v>5</v>
      </c>
      <c r="E279" t="n">
        <v>392</v>
      </c>
      <c r="F279" t="inlineStr">
        <is>
          <t>South</t>
        </is>
      </c>
    </row>
    <row r="280">
      <c r="A280" t="inlineStr">
        <is>
          <t>T0279</t>
        </is>
      </c>
      <c r="B280" t="inlineStr">
        <is>
          <t>2024-06-10</t>
        </is>
      </c>
      <c r="C280" t="inlineStr">
        <is>
          <t>P027</t>
        </is>
      </c>
      <c r="D280" t="n">
        <v>17</v>
      </c>
      <c r="E280" t="n">
        <v>386</v>
      </c>
      <c r="F280" t="inlineStr">
        <is>
          <t>West</t>
        </is>
      </c>
    </row>
    <row r="281">
      <c r="A281" t="inlineStr">
        <is>
          <t>T0280</t>
        </is>
      </c>
      <c r="B281" t="inlineStr">
        <is>
          <t>2024-12-24</t>
        </is>
      </c>
      <c r="C281" t="inlineStr">
        <is>
          <t>P034</t>
        </is>
      </c>
      <c r="D281" t="n">
        <v>12</v>
      </c>
      <c r="E281" t="n">
        <v>393</v>
      </c>
      <c r="F281" t="inlineStr">
        <is>
          <t>North</t>
        </is>
      </c>
    </row>
    <row r="282">
      <c r="A282" t="inlineStr">
        <is>
          <t>T0281</t>
        </is>
      </c>
      <c r="B282" t="inlineStr">
        <is>
          <t>2024-08-11</t>
        </is>
      </c>
      <c r="C282" t="inlineStr">
        <is>
          <t>P044</t>
        </is>
      </c>
      <c r="D282" t="n">
        <v>9</v>
      </c>
      <c r="E282" t="n">
        <v>199</v>
      </c>
      <c r="F282" t="inlineStr">
        <is>
          <t>North</t>
        </is>
      </c>
    </row>
    <row r="283">
      <c r="A283" t="inlineStr">
        <is>
          <t>T0282</t>
        </is>
      </c>
      <c r="B283" t="inlineStr">
        <is>
          <t>2024-09-20</t>
        </is>
      </c>
      <c r="C283" t="inlineStr">
        <is>
          <t>P013</t>
        </is>
      </c>
      <c r="D283" t="n">
        <v>5</v>
      </c>
      <c r="E283" t="n">
        <v>181</v>
      </c>
      <c r="F283" t="inlineStr">
        <is>
          <t>East</t>
        </is>
      </c>
    </row>
    <row r="284">
      <c r="A284" t="inlineStr">
        <is>
          <t>T0283</t>
        </is>
      </c>
      <c r="B284" t="inlineStr">
        <is>
          <t>2024-08-12</t>
        </is>
      </c>
      <c r="C284" t="inlineStr">
        <is>
          <t>P037</t>
        </is>
      </c>
      <c r="D284" t="n">
        <v>7</v>
      </c>
      <c r="E284" t="n">
        <v>156</v>
      </c>
      <c r="F284" t="inlineStr">
        <is>
          <t>West</t>
        </is>
      </c>
    </row>
    <row r="285">
      <c r="A285" t="inlineStr">
        <is>
          <t>T0284</t>
        </is>
      </c>
      <c r="B285" t="inlineStr">
        <is>
          <t>2024-06-08</t>
        </is>
      </c>
      <c r="C285" t="inlineStr">
        <is>
          <t>P041</t>
        </is>
      </c>
      <c r="D285" t="n">
        <v>17</v>
      </c>
      <c r="E285" t="n">
        <v>135</v>
      </c>
      <c r="F285" t="inlineStr">
        <is>
          <t>South</t>
        </is>
      </c>
    </row>
    <row r="286">
      <c r="A286" t="inlineStr">
        <is>
          <t>T0285</t>
        </is>
      </c>
      <c r="B286" t="inlineStr">
        <is>
          <t>2024-03-16</t>
        </is>
      </c>
      <c r="C286" t="inlineStr">
        <is>
          <t>P014</t>
        </is>
      </c>
      <c r="D286" t="n">
        <v>17</v>
      </c>
      <c r="E286" t="n">
        <v>243</v>
      </c>
      <c r="F286" t="inlineStr">
        <is>
          <t>West</t>
        </is>
      </c>
    </row>
    <row r="287">
      <c r="A287" t="inlineStr">
        <is>
          <t>T0286</t>
        </is>
      </c>
      <c r="B287" t="inlineStr">
        <is>
          <t>2024-08-24</t>
        </is>
      </c>
      <c r="C287" t="inlineStr">
        <is>
          <t>P050</t>
        </is>
      </c>
      <c r="D287" t="n">
        <v>5</v>
      </c>
      <c r="E287" t="n">
        <v>79</v>
      </c>
      <c r="F287" t="inlineStr">
        <is>
          <t>West</t>
        </is>
      </c>
    </row>
    <row r="288">
      <c r="A288" t="inlineStr">
        <is>
          <t>T0287</t>
        </is>
      </c>
      <c r="B288" t="inlineStr">
        <is>
          <t>2024-05-11</t>
        </is>
      </c>
      <c r="C288" t="inlineStr">
        <is>
          <t>P001</t>
        </is>
      </c>
      <c r="D288" t="n">
        <v>20</v>
      </c>
      <c r="E288" t="n">
        <v>271</v>
      </c>
      <c r="F288" t="inlineStr">
        <is>
          <t>East</t>
        </is>
      </c>
    </row>
    <row r="289">
      <c r="A289" t="inlineStr">
        <is>
          <t>T0288</t>
        </is>
      </c>
      <c r="B289" t="inlineStr">
        <is>
          <t>2024-09-28</t>
        </is>
      </c>
      <c r="C289" t="inlineStr">
        <is>
          <t>P028</t>
        </is>
      </c>
      <c r="D289" t="n">
        <v>1</v>
      </c>
      <c r="E289" t="n">
        <v>375</v>
      </c>
      <c r="F289" t="inlineStr">
        <is>
          <t>South</t>
        </is>
      </c>
    </row>
    <row r="290">
      <c r="A290" t="inlineStr">
        <is>
          <t>T0289</t>
        </is>
      </c>
      <c r="B290" t="inlineStr">
        <is>
          <t>2024-02-18</t>
        </is>
      </c>
      <c r="C290" t="inlineStr">
        <is>
          <t>P048</t>
        </is>
      </c>
      <c r="D290" t="n">
        <v>1</v>
      </c>
      <c r="E290" t="n">
        <v>218</v>
      </c>
      <c r="F290" t="inlineStr">
        <is>
          <t>North</t>
        </is>
      </c>
    </row>
    <row r="291">
      <c r="A291" t="inlineStr">
        <is>
          <t>T0290</t>
        </is>
      </c>
      <c r="B291" t="inlineStr">
        <is>
          <t>2024-03-07</t>
        </is>
      </c>
      <c r="C291" t="inlineStr">
        <is>
          <t>P006</t>
        </is>
      </c>
      <c r="D291" t="n">
        <v>6</v>
      </c>
      <c r="E291" t="n">
        <v>234</v>
      </c>
      <c r="F291" t="inlineStr">
        <is>
          <t>East</t>
        </is>
      </c>
    </row>
    <row r="292">
      <c r="A292" t="inlineStr">
        <is>
          <t>T0291</t>
        </is>
      </c>
      <c r="B292" t="inlineStr">
        <is>
          <t>2024-02-01</t>
        </is>
      </c>
      <c r="C292" t="inlineStr">
        <is>
          <t>P018</t>
        </is>
      </c>
      <c r="D292" t="n">
        <v>20</v>
      </c>
      <c r="E292" t="n">
        <v>398</v>
      </c>
      <c r="F292" t="inlineStr">
        <is>
          <t>East</t>
        </is>
      </c>
    </row>
    <row r="293">
      <c r="A293" t="inlineStr">
        <is>
          <t>T0292</t>
        </is>
      </c>
      <c r="B293" t="inlineStr">
        <is>
          <t>2024-11-13</t>
        </is>
      </c>
      <c r="C293" t="inlineStr">
        <is>
          <t>P045</t>
        </is>
      </c>
      <c r="D293" t="n">
        <v>12</v>
      </c>
      <c r="E293" t="n">
        <v>399</v>
      </c>
      <c r="F293" t="inlineStr">
        <is>
          <t>North</t>
        </is>
      </c>
    </row>
    <row r="294">
      <c r="A294" t="inlineStr">
        <is>
          <t>T0293</t>
        </is>
      </c>
      <c r="B294" t="inlineStr">
        <is>
          <t>2024-02-02</t>
        </is>
      </c>
      <c r="C294" t="inlineStr">
        <is>
          <t>P045</t>
        </is>
      </c>
      <c r="D294" t="n">
        <v>12</v>
      </c>
      <c r="E294" t="n">
        <v>131</v>
      </c>
      <c r="F294" t="inlineStr">
        <is>
          <t>North</t>
        </is>
      </c>
    </row>
    <row r="295">
      <c r="A295" t="inlineStr">
        <is>
          <t>T0294</t>
        </is>
      </c>
      <c r="B295" t="inlineStr">
        <is>
          <t>2024-05-15</t>
        </is>
      </c>
      <c r="C295" t="inlineStr">
        <is>
          <t>P034</t>
        </is>
      </c>
      <c r="D295" t="n">
        <v>10</v>
      </c>
      <c r="E295" t="n">
        <v>243</v>
      </c>
      <c r="F295" t="inlineStr">
        <is>
          <t>West</t>
        </is>
      </c>
    </row>
    <row r="296">
      <c r="A296" t="inlineStr">
        <is>
          <t>T0295</t>
        </is>
      </c>
      <c r="B296" t="inlineStr">
        <is>
          <t>2024-08-15</t>
        </is>
      </c>
      <c r="C296" t="inlineStr">
        <is>
          <t>P042</t>
        </is>
      </c>
      <c r="D296" t="n">
        <v>13</v>
      </c>
      <c r="E296" t="n">
        <v>442</v>
      </c>
      <c r="F296" t="inlineStr">
        <is>
          <t>East</t>
        </is>
      </c>
    </row>
    <row r="297">
      <c r="A297" t="inlineStr">
        <is>
          <t>T0296</t>
        </is>
      </c>
      <c r="B297" t="inlineStr">
        <is>
          <t>2024-03-14</t>
        </is>
      </c>
      <c r="C297" t="inlineStr">
        <is>
          <t>P030</t>
        </is>
      </c>
      <c r="D297" t="n">
        <v>2</v>
      </c>
      <c r="E297" t="n">
        <v>81</v>
      </c>
      <c r="F297" t="inlineStr">
        <is>
          <t>North</t>
        </is>
      </c>
    </row>
    <row r="298">
      <c r="A298" t="inlineStr">
        <is>
          <t>T0297</t>
        </is>
      </c>
      <c r="B298" t="inlineStr">
        <is>
          <t>2024-08-21</t>
        </is>
      </c>
      <c r="C298" t="inlineStr">
        <is>
          <t>P022</t>
        </is>
      </c>
      <c r="D298" t="n">
        <v>13</v>
      </c>
      <c r="E298" t="n">
        <v>215</v>
      </c>
      <c r="F298" t="inlineStr">
        <is>
          <t>East</t>
        </is>
      </c>
    </row>
    <row r="299">
      <c r="A299" t="inlineStr">
        <is>
          <t>T0298</t>
        </is>
      </c>
      <c r="B299" t="inlineStr">
        <is>
          <t>2024-10-13</t>
        </is>
      </c>
      <c r="C299" t="inlineStr">
        <is>
          <t>P037</t>
        </is>
      </c>
      <c r="D299" t="n">
        <v>4</v>
      </c>
      <c r="E299" t="n">
        <v>272</v>
      </c>
      <c r="F299" t="inlineStr">
        <is>
          <t>South</t>
        </is>
      </c>
    </row>
    <row r="300">
      <c r="A300" t="inlineStr">
        <is>
          <t>T0299</t>
        </is>
      </c>
      <c r="B300" t="inlineStr">
        <is>
          <t>2024-11-28</t>
        </is>
      </c>
      <c r="C300" t="inlineStr">
        <is>
          <t>P039</t>
        </is>
      </c>
      <c r="D300" t="n">
        <v>17</v>
      </c>
      <c r="E300" t="n">
        <v>327</v>
      </c>
      <c r="F300" t="inlineStr">
        <is>
          <t>West</t>
        </is>
      </c>
    </row>
    <row r="301">
      <c r="A301" t="inlineStr">
        <is>
          <t>T0300</t>
        </is>
      </c>
      <c r="B301" t="inlineStr">
        <is>
          <t>2024-03-15</t>
        </is>
      </c>
      <c r="C301" t="inlineStr">
        <is>
          <t>P016</t>
        </is>
      </c>
      <c r="D301" t="n">
        <v>5</v>
      </c>
      <c r="E301" t="n">
        <v>220</v>
      </c>
      <c r="F301" t="inlineStr">
        <is>
          <t>South</t>
        </is>
      </c>
    </row>
    <row r="302">
      <c r="A302" t="inlineStr">
        <is>
          <t>T0301</t>
        </is>
      </c>
      <c r="B302" t="inlineStr">
        <is>
          <t>2024-08-16</t>
        </is>
      </c>
      <c r="C302" t="inlineStr">
        <is>
          <t>P001</t>
        </is>
      </c>
      <c r="D302" t="n">
        <v>5</v>
      </c>
      <c r="E302" t="n">
        <v>341</v>
      </c>
      <c r="F302" t="inlineStr">
        <is>
          <t>North</t>
        </is>
      </c>
    </row>
    <row r="303">
      <c r="A303" t="inlineStr">
        <is>
          <t>T0302</t>
        </is>
      </c>
      <c r="B303" t="inlineStr">
        <is>
          <t>2024-06-04</t>
        </is>
      </c>
      <c r="C303" t="inlineStr">
        <is>
          <t>P003</t>
        </is>
      </c>
      <c r="D303" t="n">
        <v>18</v>
      </c>
      <c r="E303" t="n">
        <v>210</v>
      </c>
      <c r="F303" t="inlineStr">
        <is>
          <t>East</t>
        </is>
      </c>
    </row>
    <row r="304">
      <c r="A304" t="inlineStr">
        <is>
          <t>T0303</t>
        </is>
      </c>
      <c r="B304" t="inlineStr">
        <is>
          <t>2024-03-17</t>
        </is>
      </c>
      <c r="C304" t="inlineStr">
        <is>
          <t>P024</t>
        </is>
      </c>
      <c r="D304" t="n">
        <v>13</v>
      </c>
      <c r="E304" t="n">
        <v>409</v>
      </c>
      <c r="F304" t="inlineStr">
        <is>
          <t>West</t>
        </is>
      </c>
    </row>
    <row r="305">
      <c r="A305" t="inlineStr">
        <is>
          <t>T0304</t>
        </is>
      </c>
      <c r="B305" t="inlineStr">
        <is>
          <t>2024-03-16</t>
        </is>
      </c>
      <c r="C305" t="inlineStr">
        <is>
          <t>P038</t>
        </is>
      </c>
      <c r="D305" t="n">
        <v>5</v>
      </c>
      <c r="E305" t="n">
        <v>293</v>
      </c>
      <c r="F305" t="inlineStr">
        <is>
          <t>East</t>
        </is>
      </c>
    </row>
    <row r="306">
      <c r="A306" t="inlineStr">
        <is>
          <t>T0305</t>
        </is>
      </c>
      <c r="B306" t="inlineStr">
        <is>
          <t>2024-05-15</t>
        </is>
      </c>
      <c r="C306" t="inlineStr">
        <is>
          <t>P033</t>
        </is>
      </c>
      <c r="D306" t="n">
        <v>15</v>
      </c>
      <c r="E306" t="n">
        <v>206</v>
      </c>
      <c r="F306" t="inlineStr">
        <is>
          <t>East</t>
        </is>
      </c>
    </row>
    <row r="307">
      <c r="A307" t="inlineStr">
        <is>
          <t>T0306</t>
        </is>
      </c>
      <c r="B307" t="inlineStr">
        <is>
          <t>2024-11-06</t>
        </is>
      </c>
      <c r="C307" t="inlineStr">
        <is>
          <t>P006</t>
        </is>
      </c>
      <c r="D307" t="n">
        <v>10</v>
      </c>
      <c r="E307" t="n">
        <v>124</v>
      </c>
      <c r="F307" t="inlineStr">
        <is>
          <t>North</t>
        </is>
      </c>
    </row>
    <row r="308">
      <c r="A308" t="inlineStr">
        <is>
          <t>T0307</t>
        </is>
      </c>
      <c r="B308" t="inlineStr">
        <is>
          <t>2024-07-14</t>
        </is>
      </c>
      <c r="C308" t="inlineStr">
        <is>
          <t>P043</t>
        </is>
      </c>
      <c r="D308" t="n">
        <v>18</v>
      </c>
      <c r="E308" t="n">
        <v>443</v>
      </c>
      <c r="F308" t="inlineStr">
        <is>
          <t>South</t>
        </is>
      </c>
    </row>
    <row r="309">
      <c r="A309" t="inlineStr">
        <is>
          <t>T0308</t>
        </is>
      </c>
      <c r="B309" t="inlineStr">
        <is>
          <t>2024-04-02</t>
        </is>
      </c>
      <c r="C309" t="inlineStr">
        <is>
          <t>P028</t>
        </is>
      </c>
      <c r="D309" t="n">
        <v>14</v>
      </c>
      <c r="E309" t="n">
        <v>61</v>
      </c>
      <c r="F309" t="inlineStr">
        <is>
          <t>West</t>
        </is>
      </c>
    </row>
    <row r="310">
      <c r="A310" t="inlineStr">
        <is>
          <t>T0309</t>
        </is>
      </c>
      <c r="B310" t="inlineStr">
        <is>
          <t>2024-05-31</t>
        </is>
      </c>
      <c r="C310" t="inlineStr">
        <is>
          <t>P045</t>
        </is>
      </c>
      <c r="D310" t="n">
        <v>7</v>
      </c>
      <c r="E310" t="n">
        <v>112</v>
      </c>
      <c r="F310" t="inlineStr">
        <is>
          <t>North</t>
        </is>
      </c>
    </row>
    <row r="311">
      <c r="A311" t="inlineStr">
        <is>
          <t>T0310</t>
        </is>
      </c>
      <c r="B311" t="inlineStr">
        <is>
          <t>2024-05-23</t>
        </is>
      </c>
      <c r="C311" t="inlineStr">
        <is>
          <t>P016</t>
        </is>
      </c>
      <c r="D311" t="n">
        <v>16</v>
      </c>
      <c r="E311" t="n">
        <v>234</v>
      </c>
      <c r="F311" t="inlineStr">
        <is>
          <t>South</t>
        </is>
      </c>
    </row>
    <row r="312">
      <c r="A312" t="inlineStr">
        <is>
          <t>T0311</t>
        </is>
      </c>
      <c r="B312" t="inlineStr">
        <is>
          <t>2024-06-22</t>
        </is>
      </c>
      <c r="C312" t="inlineStr">
        <is>
          <t>P041</t>
        </is>
      </c>
      <c r="D312" t="n">
        <v>12</v>
      </c>
      <c r="E312" t="n">
        <v>316</v>
      </c>
      <c r="F312" t="inlineStr">
        <is>
          <t>West</t>
        </is>
      </c>
    </row>
    <row r="313">
      <c r="A313" t="inlineStr">
        <is>
          <t>T0312</t>
        </is>
      </c>
      <c r="B313" t="inlineStr">
        <is>
          <t>2024-04-06</t>
        </is>
      </c>
      <c r="C313" t="inlineStr">
        <is>
          <t>P003</t>
        </is>
      </c>
      <c r="D313" t="n">
        <v>13</v>
      </c>
      <c r="E313" t="n">
        <v>267</v>
      </c>
      <c r="F313" t="inlineStr">
        <is>
          <t>South</t>
        </is>
      </c>
    </row>
    <row r="314">
      <c r="A314" t="inlineStr">
        <is>
          <t>T0313</t>
        </is>
      </c>
      <c r="B314" t="inlineStr">
        <is>
          <t>2024-05-09</t>
        </is>
      </c>
      <c r="C314" t="inlineStr">
        <is>
          <t>P035</t>
        </is>
      </c>
      <c r="D314" t="n">
        <v>8</v>
      </c>
      <c r="E314" t="n">
        <v>74</v>
      </c>
      <c r="F314" t="inlineStr">
        <is>
          <t>North</t>
        </is>
      </c>
    </row>
    <row r="315">
      <c r="A315" t="inlineStr">
        <is>
          <t>T0314</t>
        </is>
      </c>
      <c r="B315" t="inlineStr">
        <is>
          <t>2024-02-22</t>
        </is>
      </c>
      <c r="C315" t="inlineStr">
        <is>
          <t>P008</t>
        </is>
      </c>
      <c r="D315" t="n">
        <v>18</v>
      </c>
      <c r="E315" t="n">
        <v>73</v>
      </c>
      <c r="F315" t="inlineStr">
        <is>
          <t>West</t>
        </is>
      </c>
    </row>
    <row r="316">
      <c r="A316" t="inlineStr">
        <is>
          <t>T0315</t>
        </is>
      </c>
      <c r="B316" t="inlineStr">
        <is>
          <t>2024-04-07</t>
        </is>
      </c>
      <c r="C316" t="inlineStr">
        <is>
          <t>P046</t>
        </is>
      </c>
      <c r="D316" t="n">
        <v>17</v>
      </c>
      <c r="E316" t="n">
        <v>262</v>
      </c>
      <c r="F316" t="inlineStr">
        <is>
          <t>South</t>
        </is>
      </c>
    </row>
    <row r="317">
      <c r="A317" t="inlineStr">
        <is>
          <t>T0316</t>
        </is>
      </c>
      <c r="B317" t="inlineStr">
        <is>
          <t>2024-12-08</t>
        </is>
      </c>
      <c r="C317" t="inlineStr">
        <is>
          <t>P039</t>
        </is>
      </c>
      <c r="D317" t="n">
        <v>9</v>
      </c>
      <c r="E317" t="n">
        <v>100</v>
      </c>
      <c r="F317" t="inlineStr">
        <is>
          <t>West</t>
        </is>
      </c>
    </row>
    <row r="318">
      <c r="A318" t="inlineStr">
        <is>
          <t>T0317</t>
        </is>
      </c>
      <c r="B318" t="inlineStr">
        <is>
          <t>2024-05-22</t>
        </is>
      </c>
      <c r="C318" t="inlineStr">
        <is>
          <t>P008</t>
        </is>
      </c>
      <c r="D318" t="n">
        <v>14</v>
      </c>
      <c r="E318" t="n">
        <v>378</v>
      </c>
      <c r="F318" t="inlineStr">
        <is>
          <t>East</t>
        </is>
      </c>
    </row>
    <row r="319">
      <c r="A319" t="inlineStr">
        <is>
          <t>T0318</t>
        </is>
      </c>
      <c r="B319" t="inlineStr">
        <is>
          <t>2024-12-17</t>
        </is>
      </c>
      <c r="C319" t="inlineStr">
        <is>
          <t>P005</t>
        </is>
      </c>
      <c r="D319" t="n">
        <v>17</v>
      </c>
      <c r="E319" t="n">
        <v>422</v>
      </c>
      <c r="F319" t="inlineStr">
        <is>
          <t>West</t>
        </is>
      </c>
    </row>
    <row r="320">
      <c r="A320" t="inlineStr">
        <is>
          <t>T0319</t>
        </is>
      </c>
      <c r="B320" t="inlineStr">
        <is>
          <t>2024-12-26</t>
        </is>
      </c>
      <c r="C320" t="inlineStr">
        <is>
          <t>P039</t>
        </is>
      </c>
      <c r="D320" t="n">
        <v>4</v>
      </c>
      <c r="E320" t="n">
        <v>76</v>
      </c>
      <c r="F320" t="inlineStr">
        <is>
          <t>East</t>
        </is>
      </c>
    </row>
    <row r="321">
      <c r="A321" t="inlineStr">
        <is>
          <t>T0320</t>
        </is>
      </c>
      <c r="B321" t="inlineStr">
        <is>
          <t>2024-01-27</t>
        </is>
      </c>
      <c r="C321" t="inlineStr">
        <is>
          <t>P015</t>
        </is>
      </c>
      <c r="D321" t="n">
        <v>9</v>
      </c>
      <c r="E321" t="n">
        <v>398</v>
      </c>
      <c r="F321" t="inlineStr">
        <is>
          <t>South</t>
        </is>
      </c>
    </row>
    <row r="322">
      <c r="A322" t="inlineStr">
        <is>
          <t>T0321</t>
        </is>
      </c>
      <c r="B322" t="inlineStr">
        <is>
          <t>2024-07-05</t>
        </is>
      </c>
      <c r="C322" t="inlineStr">
        <is>
          <t>P023</t>
        </is>
      </c>
      <c r="D322" t="n">
        <v>16</v>
      </c>
      <c r="E322" t="n">
        <v>470</v>
      </c>
      <c r="F322" t="inlineStr">
        <is>
          <t>East</t>
        </is>
      </c>
    </row>
    <row r="323">
      <c r="A323" t="inlineStr">
        <is>
          <t>T0322</t>
        </is>
      </c>
      <c r="B323" t="inlineStr">
        <is>
          <t>2024-06-14</t>
        </is>
      </c>
      <c r="C323" t="inlineStr">
        <is>
          <t>P040</t>
        </is>
      </c>
      <c r="D323" t="n">
        <v>8</v>
      </c>
      <c r="E323" t="n">
        <v>89</v>
      </c>
      <c r="F323" t="inlineStr">
        <is>
          <t>East</t>
        </is>
      </c>
    </row>
    <row r="324">
      <c r="A324" t="inlineStr">
        <is>
          <t>T0323</t>
        </is>
      </c>
      <c r="B324" t="inlineStr">
        <is>
          <t>2024-09-01</t>
        </is>
      </c>
      <c r="C324" t="inlineStr">
        <is>
          <t>P005</t>
        </is>
      </c>
      <c r="D324" t="n">
        <v>16</v>
      </c>
      <c r="E324" t="n">
        <v>282</v>
      </c>
      <c r="F324" t="inlineStr">
        <is>
          <t>South</t>
        </is>
      </c>
    </row>
    <row r="325">
      <c r="A325" t="inlineStr">
        <is>
          <t>T0324</t>
        </is>
      </c>
      <c r="B325" t="inlineStr">
        <is>
          <t>2024-06-20</t>
        </is>
      </c>
      <c r="C325" t="inlineStr">
        <is>
          <t>P007</t>
        </is>
      </c>
      <c r="D325" t="n">
        <v>13</v>
      </c>
      <c r="E325" t="n">
        <v>439</v>
      </c>
      <c r="F325" t="inlineStr">
        <is>
          <t>South</t>
        </is>
      </c>
    </row>
    <row r="326">
      <c r="A326" t="inlineStr">
        <is>
          <t>T0325</t>
        </is>
      </c>
      <c r="B326" t="inlineStr">
        <is>
          <t>2024-07-28</t>
        </is>
      </c>
      <c r="C326" t="inlineStr">
        <is>
          <t>P001</t>
        </is>
      </c>
      <c r="D326" t="n">
        <v>11</v>
      </c>
      <c r="E326" t="n">
        <v>273</v>
      </c>
      <c r="F326" t="inlineStr">
        <is>
          <t>North</t>
        </is>
      </c>
    </row>
    <row r="327">
      <c r="A327" t="inlineStr">
        <is>
          <t>T0326</t>
        </is>
      </c>
      <c r="B327" t="inlineStr">
        <is>
          <t>2024-07-05</t>
        </is>
      </c>
      <c r="C327" t="inlineStr">
        <is>
          <t>P049</t>
        </is>
      </c>
      <c r="D327" t="n">
        <v>15</v>
      </c>
      <c r="E327" t="n">
        <v>190</v>
      </c>
      <c r="F327" t="inlineStr">
        <is>
          <t>North</t>
        </is>
      </c>
    </row>
    <row r="328">
      <c r="A328" t="inlineStr">
        <is>
          <t>T0327</t>
        </is>
      </c>
      <c r="B328" t="inlineStr">
        <is>
          <t>2024-03-29</t>
        </is>
      </c>
      <c r="C328" t="inlineStr">
        <is>
          <t>P021</t>
        </is>
      </c>
      <c r="D328" t="n">
        <v>19</v>
      </c>
      <c r="E328" t="n">
        <v>320</v>
      </c>
      <c r="F328" t="inlineStr">
        <is>
          <t>East</t>
        </is>
      </c>
    </row>
    <row r="329">
      <c r="A329" t="inlineStr">
        <is>
          <t>T0328</t>
        </is>
      </c>
      <c r="B329" t="inlineStr">
        <is>
          <t>2024-12-28</t>
        </is>
      </c>
      <c r="C329" t="inlineStr">
        <is>
          <t>P013</t>
        </is>
      </c>
      <c r="D329" t="n">
        <v>7</v>
      </c>
      <c r="E329" t="n">
        <v>60</v>
      </c>
      <c r="F329" t="inlineStr">
        <is>
          <t>East</t>
        </is>
      </c>
    </row>
    <row r="330">
      <c r="A330" t="inlineStr">
        <is>
          <t>T0329</t>
        </is>
      </c>
      <c r="B330" t="inlineStr">
        <is>
          <t>2024-10-29</t>
        </is>
      </c>
      <c r="C330" t="inlineStr">
        <is>
          <t>P020</t>
        </is>
      </c>
      <c r="D330" t="n">
        <v>2</v>
      </c>
      <c r="E330" t="n">
        <v>284</v>
      </c>
      <c r="F330" t="inlineStr">
        <is>
          <t>East</t>
        </is>
      </c>
    </row>
    <row r="331">
      <c r="A331" t="inlineStr">
        <is>
          <t>T0330</t>
        </is>
      </c>
      <c r="B331" t="inlineStr">
        <is>
          <t>2024-03-19</t>
        </is>
      </c>
      <c r="C331" t="inlineStr">
        <is>
          <t>P022</t>
        </is>
      </c>
      <c r="D331" t="n">
        <v>19</v>
      </c>
      <c r="E331" t="n">
        <v>354</v>
      </c>
      <c r="F331" t="inlineStr">
        <is>
          <t>East</t>
        </is>
      </c>
    </row>
    <row r="332">
      <c r="A332" t="inlineStr">
        <is>
          <t>T0331</t>
        </is>
      </c>
      <c r="B332" t="inlineStr">
        <is>
          <t>2024-08-08</t>
        </is>
      </c>
      <c r="C332" t="inlineStr">
        <is>
          <t>P041</t>
        </is>
      </c>
      <c r="D332" t="n">
        <v>8</v>
      </c>
      <c r="E332" t="n">
        <v>190</v>
      </c>
      <c r="F332" t="inlineStr">
        <is>
          <t>South</t>
        </is>
      </c>
    </row>
    <row r="333">
      <c r="A333" t="inlineStr">
        <is>
          <t>T0332</t>
        </is>
      </c>
      <c r="B333" t="inlineStr">
        <is>
          <t>2024-07-13</t>
        </is>
      </c>
      <c r="C333" t="inlineStr">
        <is>
          <t>P014</t>
        </is>
      </c>
      <c r="D333" t="n">
        <v>19</v>
      </c>
      <c r="E333" t="n">
        <v>214</v>
      </c>
      <c r="F333" t="inlineStr">
        <is>
          <t>South</t>
        </is>
      </c>
    </row>
    <row r="334">
      <c r="A334" t="inlineStr">
        <is>
          <t>T0333</t>
        </is>
      </c>
      <c r="B334" t="inlineStr">
        <is>
          <t>2024-01-23</t>
        </is>
      </c>
      <c r="C334" t="inlineStr">
        <is>
          <t>P048</t>
        </is>
      </c>
      <c r="D334" t="n">
        <v>7</v>
      </c>
      <c r="E334" t="n">
        <v>214</v>
      </c>
      <c r="F334" t="inlineStr">
        <is>
          <t>North</t>
        </is>
      </c>
    </row>
    <row r="335">
      <c r="A335" t="inlineStr">
        <is>
          <t>T0334</t>
        </is>
      </c>
      <c r="B335" t="inlineStr">
        <is>
          <t>2024-03-01</t>
        </is>
      </c>
      <c r="C335" t="inlineStr">
        <is>
          <t>P034</t>
        </is>
      </c>
      <c r="D335" t="n">
        <v>7</v>
      </c>
      <c r="E335" t="n">
        <v>58</v>
      </c>
      <c r="F335" t="inlineStr">
        <is>
          <t>East</t>
        </is>
      </c>
    </row>
    <row r="336">
      <c r="A336" t="inlineStr">
        <is>
          <t>T0335</t>
        </is>
      </c>
      <c r="B336" t="inlineStr">
        <is>
          <t>2024-06-05</t>
        </is>
      </c>
      <c r="C336" t="inlineStr">
        <is>
          <t>P013</t>
        </is>
      </c>
      <c r="D336" t="n">
        <v>11</v>
      </c>
      <c r="E336" t="n">
        <v>448</v>
      </c>
      <c r="F336" t="inlineStr">
        <is>
          <t>West</t>
        </is>
      </c>
    </row>
    <row r="337">
      <c r="A337" t="inlineStr">
        <is>
          <t>T0336</t>
        </is>
      </c>
      <c r="B337" t="inlineStr">
        <is>
          <t>2024-09-27</t>
        </is>
      </c>
      <c r="C337" t="inlineStr">
        <is>
          <t>P041</t>
        </is>
      </c>
      <c r="D337" t="n">
        <v>15</v>
      </c>
      <c r="E337" t="n">
        <v>287</v>
      </c>
      <c r="F337" t="inlineStr">
        <is>
          <t>North</t>
        </is>
      </c>
    </row>
    <row r="338">
      <c r="A338" t="inlineStr">
        <is>
          <t>T0337</t>
        </is>
      </c>
      <c r="B338" t="inlineStr">
        <is>
          <t>2024-01-19</t>
        </is>
      </c>
      <c r="C338" t="inlineStr">
        <is>
          <t>P034</t>
        </is>
      </c>
      <c r="D338" t="n">
        <v>19</v>
      </c>
      <c r="E338" t="n">
        <v>383</v>
      </c>
      <c r="F338" t="inlineStr">
        <is>
          <t>West</t>
        </is>
      </c>
    </row>
    <row r="339">
      <c r="A339" t="inlineStr">
        <is>
          <t>T0338</t>
        </is>
      </c>
      <c r="B339" t="inlineStr">
        <is>
          <t>2024-07-03</t>
        </is>
      </c>
      <c r="C339" t="inlineStr">
        <is>
          <t>P050</t>
        </is>
      </c>
      <c r="D339" t="n">
        <v>15</v>
      </c>
      <c r="E339" t="n">
        <v>304</v>
      </c>
      <c r="F339" t="inlineStr">
        <is>
          <t>South</t>
        </is>
      </c>
    </row>
    <row r="340">
      <c r="A340" t="inlineStr">
        <is>
          <t>T0339</t>
        </is>
      </c>
      <c r="B340" t="inlineStr">
        <is>
          <t>2024-11-06</t>
        </is>
      </c>
      <c r="C340" t="inlineStr">
        <is>
          <t>P009</t>
        </is>
      </c>
      <c r="D340" t="n">
        <v>17</v>
      </c>
      <c r="E340" t="n">
        <v>353</v>
      </c>
      <c r="F340" t="inlineStr">
        <is>
          <t>East</t>
        </is>
      </c>
    </row>
    <row r="341">
      <c r="A341" t="inlineStr">
        <is>
          <t>T0340</t>
        </is>
      </c>
      <c r="B341" t="inlineStr">
        <is>
          <t>2024-02-13</t>
        </is>
      </c>
      <c r="C341" t="inlineStr">
        <is>
          <t>P020</t>
        </is>
      </c>
      <c r="D341" t="n">
        <v>18</v>
      </c>
      <c r="E341" t="n">
        <v>102</v>
      </c>
      <c r="F341" t="inlineStr">
        <is>
          <t>South</t>
        </is>
      </c>
    </row>
    <row r="342">
      <c r="A342" t="inlineStr">
        <is>
          <t>T0341</t>
        </is>
      </c>
      <c r="B342" t="inlineStr">
        <is>
          <t>2024-01-04</t>
        </is>
      </c>
      <c r="C342" t="inlineStr">
        <is>
          <t>P018</t>
        </is>
      </c>
      <c r="D342" t="n">
        <v>15</v>
      </c>
      <c r="E342" t="n">
        <v>202</v>
      </c>
      <c r="F342" t="inlineStr">
        <is>
          <t>North</t>
        </is>
      </c>
    </row>
    <row r="343">
      <c r="A343" t="inlineStr">
        <is>
          <t>T0342</t>
        </is>
      </c>
      <c r="B343" t="inlineStr">
        <is>
          <t>2024-08-30</t>
        </is>
      </c>
      <c r="C343" t="inlineStr">
        <is>
          <t>P024</t>
        </is>
      </c>
      <c r="D343" t="n">
        <v>5</v>
      </c>
      <c r="E343" t="n">
        <v>56</v>
      </c>
      <c r="F343" t="inlineStr">
        <is>
          <t>South</t>
        </is>
      </c>
    </row>
    <row r="344">
      <c r="A344" t="inlineStr">
        <is>
          <t>T0343</t>
        </is>
      </c>
      <c r="B344" t="inlineStr">
        <is>
          <t>2024-05-14</t>
        </is>
      </c>
      <c r="C344" t="inlineStr">
        <is>
          <t>P045</t>
        </is>
      </c>
      <c r="D344" t="n">
        <v>13</v>
      </c>
      <c r="E344" t="n">
        <v>120</v>
      </c>
      <c r="F344" t="inlineStr">
        <is>
          <t>North</t>
        </is>
      </c>
    </row>
    <row r="345">
      <c r="A345" t="inlineStr">
        <is>
          <t>T0344</t>
        </is>
      </c>
      <c r="B345" t="inlineStr">
        <is>
          <t>2024-10-04</t>
        </is>
      </c>
      <c r="C345" t="inlineStr">
        <is>
          <t>P015</t>
        </is>
      </c>
      <c r="D345" t="n">
        <v>5</v>
      </c>
      <c r="E345" t="n">
        <v>284</v>
      </c>
      <c r="F345" t="inlineStr">
        <is>
          <t>North</t>
        </is>
      </c>
    </row>
    <row r="346">
      <c r="A346" t="inlineStr">
        <is>
          <t>T0345</t>
        </is>
      </c>
      <c r="B346" t="inlineStr">
        <is>
          <t>2024-05-25</t>
        </is>
      </c>
      <c r="C346" t="inlineStr">
        <is>
          <t>P030</t>
        </is>
      </c>
      <c r="D346" t="n">
        <v>10</v>
      </c>
      <c r="E346" t="n">
        <v>329</v>
      </c>
      <c r="F346" t="inlineStr">
        <is>
          <t>West</t>
        </is>
      </c>
    </row>
    <row r="347">
      <c r="A347" t="inlineStr">
        <is>
          <t>T0346</t>
        </is>
      </c>
      <c r="B347" t="inlineStr">
        <is>
          <t>2024-11-26</t>
        </is>
      </c>
      <c r="C347" t="inlineStr">
        <is>
          <t>P048</t>
        </is>
      </c>
      <c r="D347" t="n">
        <v>10</v>
      </c>
      <c r="E347" t="n">
        <v>166</v>
      </c>
      <c r="F347" t="inlineStr">
        <is>
          <t>North</t>
        </is>
      </c>
    </row>
    <row r="348">
      <c r="A348" t="inlineStr">
        <is>
          <t>T0347</t>
        </is>
      </c>
      <c r="B348" t="inlineStr">
        <is>
          <t>2024-05-20</t>
        </is>
      </c>
      <c r="C348" t="inlineStr">
        <is>
          <t>P037</t>
        </is>
      </c>
      <c r="D348" t="n">
        <v>5</v>
      </c>
      <c r="E348" t="n">
        <v>473</v>
      </c>
      <c r="F348" t="inlineStr">
        <is>
          <t>West</t>
        </is>
      </c>
    </row>
    <row r="349">
      <c r="A349" t="inlineStr">
        <is>
          <t>T0348</t>
        </is>
      </c>
      <c r="B349" t="inlineStr">
        <is>
          <t>2024-03-14</t>
        </is>
      </c>
      <c r="C349" t="inlineStr">
        <is>
          <t>P018</t>
        </is>
      </c>
      <c r="D349" t="n">
        <v>4</v>
      </c>
      <c r="E349" t="n">
        <v>374</v>
      </c>
      <c r="F349" t="inlineStr">
        <is>
          <t>West</t>
        </is>
      </c>
    </row>
    <row r="350">
      <c r="A350" t="inlineStr">
        <is>
          <t>T0349</t>
        </is>
      </c>
      <c r="B350" t="inlineStr">
        <is>
          <t>2024-07-08</t>
        </is>
      </c>
      <c r="C350" t="inlineStr">
        <is>
          <t>P048</t>
        </is>
      </c>
      <c r="D350" t="n">
        <v>2</v>
      </c>
      <c r="E350" t="n">
        <v>185</v>
      </c>
      <c r="F350" t="inlineStr">
        <is>
          <t>South</t>
        </is>
      </c>
    </row>
    <row r="351">
      <c r="A351" t="inlineStr">
        <is>
          <t>T0350</t>
        </is>
      </c>
      <c r="B351" t="inlineStr">
        <is>
          <t>2024-03-22</t>
        </is>
      </c>
      <c r="C351" t="inlineStr">
        <is>
          <t>P035</t>
        </is>
      </c>
      <c r="D351" t="n">
        <v>19</v>
      </c>
      <c r="E351" t="n">
        <v>493</v>
      </c>
      <c r="F351" t="inlineStr">
        <is>
          <t>North</t>
        </is>
      </c>
    </row>
    <row r="352">
      <c r="A352" t="inlineStr">
        <is>
          <t>T0351</t>
        </is>
      </c>
      <c r="B352" t="inlineStr">
        <is>
          <t>2024-08-10</t>
        </is>
      </c>
      <c r="C352" t="inlineStr">
        <is>
          <t>P023</t>
        </is>
      </c>
      <c r="D352" t="n">
        <v>11</v>
      </c>
      <c r="E352" t="n">
        <v>59</v>
      </c>
      <c r="F352" t="inlineStr">
        <is>
          <t>South</t>
        </is>
      </c>
    </row>
    <row r="353">
      <c r="A353" t="inlineStr">
        <is>
          <t>T0352</t>
        </is>
      </c>
      <c r="B353" t="inlineStr">
        <is>
          <t>2024-07-06</t>
        </is>
      </c>
      <c r="C353" t="inlineStr">
        <is>
          <t>P012</t>
        </is>
      </c>
      <c r="D353" t="n">
        <v>6</v>
      </c>
      <c r="E353" t="n">
        <v>456</v>
      </c>
      <c r="F353" t="inlineStr">
        <is>
          <t>South</t>
        </is>
      </c>
    </row>
    <row r="354">
      <c r="A354" t="inlineStr">
        <is>
          <t>T0353</t>
        </is>
      </c>
      <c r="B354" t="inlineStr">
        <is>
          <t>2024-07-05</t>
        </is>
      </c>
      <c r="C354" t="inlineStr">
        <is>
          <t>P037</t>
        </is>
      </c>
      <c r="D354" t="n">
        <v>8</v>
      </c>
      <c r="E354" t="n">
        <v>129</v>
      </c>
      <c r="F354" t="inlineStr">
        <is>
          <t>West</t>
        </is>
      </c>
    </row>
    <row r="355">
      <c r="A355" t="inlineStr">
        <is>
          <t>T0354</t>
        </is>
      </c>
      <c r="B355" t="inlineStr">
        <is>
          <t>2024-09-16</t>
        </is>
      </c>
      <c r="C355" t="inlineStr">
        <is>
          <t>P046</t>
        </is>
      </c>
      <c r="D355" t="n">
        <v>20</v>
      </c>
      <c r="E355" t="n">
        <v>56</v>
      </c>
      <c r="F355" t="inlineStr">
        <is>
          <t>North</t>
        </is>
      </c>
    </row>
    <row r="356">
      <c r="A356" t="inlineStr">
        <is>
          <t>T0355</t>
        </is>
      </c>
      <c r="B356" t="inlineStr">
        <is>
          <t>2024-12-24</t>
        </is>
      </c>
      <c r="C356" t="inlineStr">
        <is>
          <t>P038</t>
        </is>
      </c>
      <c r="D356" t="n">
        <v>19</v>
      </c>
      <c r="E356" t="n">
        <v>276</v>
      </c>
      <c r="F356" t="inlineStr">
        <is>
          <t>West</t>
        </is>
      </c>
    </row>
    <row r="357">
      <c r="A357" t="inlineStr">
        <is>
          <t>T0356</t>
        </is>
      </c>
      <c r="B357" t="inlineStr">
        <is>
          <t>2024-08-19</t>
        </is>
      </c>
      <c r="C357" t="inlineStr">
        <is>
          <t>P015</t>
        </is>
      </c>
      <c r="D357" t="n">
        <v>3</v>
      </c>
      <c r="E357" t="n">
        <v>193</v>
      </c>
      <c r="F357" t="inlineStr">
        <is>
          <t>South</t>
        </is>
      </c>
    </row>
    <row r="358">
      <c r="A358" t="inlineStr">
        <is>
          <t>T0357</t>
        </is>
      </c>
      <c r="B358" t="inlineStr">
        <is>
          <t>2024-12-17</t>
        </is>
      </c>
      <c r="C358" t="inlineStr">
        <is>
          <t>P005</t>
        </is>
      </c>
      <c r="D358" t="n">
        <v>16</v>
      </c>
      <c r="E358" t="n">
        <v>225</v>
      </c>
      <c r="F358" t="inlineStr">
        <is>
          <t>East</t>
        </is>
      </c>
    </row>
    <row r="359">
      <c r="A359" t="inlineStr">
        <is>
          <t>T0358</t>
        </is>
      </c>
      <c r="B359" t="inlineStr">
        <is>
          <t>2024-11-27</t>
        </is>
      </c>
      <c r="C359" t="inlineStr">
        <is>
          <t>P044</t>
        </is>
      </c>
      <c r="D359" t="n">
        <v>12</v>
      </c>
      <c r="E359" t="n">
        <v>303</v>
      </c>
      <c r="F359" t="inlineStr">
        <is>
          <t>South</t>
        </is>
      </c>
    </row>
    <row r="360">
      <c r="A360" t="inlineStr">
        <is>
          <t>T0359</t>
        </is>
      </c>
      <c r="B360" t="inlineStr">
        <is>
          <t>2024-08-01</t>
        </is>
      </c>
      <c r="C360" t="inlineStr">
        <is>
          <t>P030</t>
        </is>
      </c>
      <c r="D360" t="n">
        <v>20</v>
      </c>
      <c r="E360" t="n">
        <v>176</v>
      </c>
      <c r="F360" t="inlineStr">
        <is>
          <t>East</t>
        </is>
      </c>
    </row>
    <row r="361">
      <c r="A361" t="inlineStr">
        <is>
          <t>T0360</t>
        </is>
      </c>
      <c r="B361" t="inlineStr">
        <is>
          <t>2024-03-24</t>
        </is>
      </c>
      <c r="C361" t="inlineStr">
        <is>
          <t>P029</t>
        </is>
      </c>
      <c r="D361" t="n">
        <v>13</v>
      </c>
      <c r="E361" t="n">
        <v>464</v>
      </c>
      <c r="F361" t="inlineStr">
        <is>
          <t>North</t>
        </is>
      </c>
    </row>
    <row r="362">
      <c r="A362" t="inlineStr">
        <is>
          <t>T0361</t>
        </is>
      </c>
      <c r="B362" t="inlineStr">
        <is>
          <t>2024-07-06</t>
        </is>
      </c>
      <c r="C362" t="inlineStr">
        <is>
          <t>P005</t>
        </is>
      </c>
      <c r="D362" t="n">
        <v>3</v>
      </c>
      <c r="E362" t="n">
        <v>422</v>
      </c>
      <c r="F362" t="inlineStr">
        <is>
          <t>East</t>
        </is>
      </c>
    </row>
    <row r="363">
      <c r="A363" t="inlineStr">
        <is>
          <t>T0362</t>
        </is>
      </c>
      <c r="B363" t="inlineStr">
        <is>
          <t>2024-12-13</t>
        </is>
      </c>
      <c r="C363" t="inlineStr">
        <is>
          <t>P045</t>
        </is>
      </c>
      <c r="D363" t="n">
        <v>9</v>
      </c>
      <c r="E363" t="n">
        <v>139</v>
      </c>
      <c r="F363" t="inlineStr">
        <is>
          <t>North</t>
        </is>
      </c>
    </row>
    <row r="364">
      <c r="A364" t="inlineStr">
        <is>
          <t>T0363</t>
        </is>
      </c>
      <c r="B364" t="inlineStr">
        <is>
          <t>2024-04-30</t>
        </is>
      </c>
      <c r="C364" t="inlineStr">
        <is>
          <t>P010</t>
        </is>
      </c>
      <c r="D364" t="n">
        <v>7</v>
      </c>
      <c r="E364" t="n">
        <v>257</v>
      </c>
      <c r="F364" t="inlineStr">
        <is>
          <t>North</t>
        </is>
      </c>
    </row>
    <row r="365">
      <c r="A365" t="inlineStr">
        <is>
          <t>T0364</t>
        </is>
      </c>
      <c r="B365" t="inlineStr">
        <is>
          <t>2024-07-05</t>
        </is>
      </c>
      <c r="C365" t="inlineStr">
        <is>
          <t>P011</t>
        </is>
      </c>
      <c r="D365" t="n">
        <v>12</v>
      </c>
      <c r="E365" t="n">
        <v>193</v>
      </c>
      <c r="F365" t="inlineStr">
        <is>
          <t>South</t>
        </is>
      </c>
    </row>
    <row r="366">
      <c r="A366" t="inlineStr">
        <is>
          <t>T0365</t>
        </is>
      </c>
      <c r="B366" t="inlineStr">
        <is>
          <t>2024-09-23</t>
        </is>
      </c>
      <c r="C366" t="inlineStr">
        <is>
          <t>P031</t>
        </is>
      </c>
      <c r="D366" t="n">
        <v>2</v>
      </c>
      <c r="E366" t="n">
        <v>112</v>
      </c>
      <c r="F366" t="inlineStr">
        <is>
          <t>West</t>
        </is>
      </c>
    </row>
    <row r="367">
      <c r="A367" t="inlineStr">
        <is>
          <t>T0366</t>
        </is>
      </c>
      <c r="B367" t="inlineStr">
        <is>
          <t>2024-08-17</t>
        </is>
      </c>
      <c r="C367" t="inlineStr">
        <is>
          <t>P042</t>
        </is>
      </c>
      <c r="D367" t="n">
        <v>6</v>
      </c>
      <c r="E367" t="n">
        <v>117</v>
      </c>
      <c r="F367" t="inlineStr">
        <is>
          <t>South</t>
        </is>
      </c>
    </row>
    <row r="368">
      <c r="A368" t="inlineStr">
        <is>
          <t>T0367</t>
        </is>
      </c>
      <c r="B368" t="inlineStr">
        <is>
          <t>2024-09-05</t>
        </is>
      </c>
      <c r="C368" t="inlineStr">
        <is>
          <t>P047</t>
        </is>
      </c>
      <c r="D368" t="n">
        <v>3</v>
      </c>
      <c r="E368" t="n">
        <v>395</v>
      </c>
      <c r="F368" t="inlineStr">
        <is>
          <t>North</t>
        </is>
      </c>
    </row>
    <row r="369">
      <c r="A369" t="inlineStr">
        <is>
          <t>T0368</t>
        </is>
      </c>
      <c r="B369" t="inlineStr">
        <is>
          <t>2024-11-13</t>
        </is>
      </c>
      <c r="C369" t="inlineStr">
        <is>
          <t>P015</t>
        </is>
      </c>
      <c r="D369" t="n">
        <v>3</v>
      </c>
      <c r="E369" t="n">
        <v>57</v>
      </c>
      <c r="F369" t="inlineStr">
        <is>
          <t>North</t>
        </is>
      </c>
    </row>
    <row r="370">
      <c r="A370" t="inlineStr">
        <is>
          <t>T0369</t>
        </is>
      </c>
      <c r="B370" t="inlineStr">
        <is>
          <t>2024-10-08</t>
        </is>
      </c>
      <c r="C370" t="inlineStr">
        <is>
          <t>P049</t>
        </is>
      </c>
      <c r="D370" t="n">
        <v>6</v>
      </c>
      <c r="E370" t="n">
        <v>298</v>
      </c>
      <c r="F370" t="inlineStr">
        <is>
          <t>North</t>
        </is>
      </c>
    </row>
    <row r="371">
      <c r="A371" t="inlineStr">
        <is>
          <t>T0370</t>
        </is>
      </c>
      <c r="B371" t="inlineStr">
        <is>
          <t>2024-01-15</t>
        </is>
      </c>
      <c r="C371" t="inlineStr">
        <is>
          <t>P023</t>
        </is>
      </c>
      <c r="D371" t="n">
        <v>3</v>
      </c>
      <c r="E371" t="n">
        <v>289</v>
      </c>
      <c r="F371" t="inlineStr">
        <is>
          <t>South</t>
        </is>
      </c>
    </row>
    <row r="372">
      <c r="A372" t="inlineStr">
        <is>
          <t>T0371</t>
        </is>
      </c>
      <c r="B372" t="inlineStr">
        <is>
          <t>2024-09-06</t>
        </is>
      </c>
      <c r="C372" t="inlineStr">
        <is>
          <t>P042</t>
        </is>
      </c>
      <c r="D372" t="n">
        <v>18</v>
      </c>
      <c r="E372" t="n">
        <v>274</v>
      </c>
      <c r="F372" t="inlineStr">
        <is>
          <t>West</t>
        </is>
      </c>
    </row>
    <row r="373">
      <c r="A373" t="inlineStr">
        <is>
          <t>T0372</t>
        </is>
      </c>
      <c r="B373" t="inlineStr">
        <is>
          <t>2024-10-15</t>
        </is>
      </c>
      <c r="C373" t="inlineStr">
        <is>
          <t>P037</t>
        </is>
      </c>
      <c r="D373" t="n">
        <v>9</v>
      </c>
      <c r="E373" t="n">
        <v>241</v>
      </c>
      <c r="F373" t="inlineStr">
        <is>
          <t>South</t>
        </is>
      </c>
    </row>
    <row r="374">
      <c r="A374" t="inlineStr">
        <is>
          <t>T0373</t>
        </is>
      </c>
      <c r="B374" t="inlineStr">
        <is>
          <t>2024-05-15</t>
        </is>
      </c>
      <c r="C374" t="inlineStr">
        <is>
          <t>P032</t>
        </is>
      </c>
      <c r="D374" t="n">
        <v>3</v>
      </c>
      <c r="E374" t="n">
        <v>138</v>
      </c>
      <c r="F374" t="inlineStr">
        <is>
          <t>West</t>
        </is>
      </c>
    </row>
    <row r="375">
      <c r="A375" t="inlineStr">
        <is>
          <t>T0374</t>
        </is>
      </c>
      <c r="B375" t="inlineStr">
        <is>
          <t>2024-07-20</t>
        </is>
      </c>
      <c r="C375" t="inlineStr">
        <is>
          <t>P010</t>
        </is>
      </c>
      <c r="D375" t="n">
        <v>11</v>
      </c>
      <c r="E375" t="n">
        <v>401</v>
      </c>
      <c r="F375" t="inlineStr">
        <is>
          <t>East</t>
        </is>
      </c>
    </row>
    <row r="376">
      <c r="A376" t="inlineStr">
        <is>
          <t>T0375</t>
        </is>
      </c>
      <c r="B376" t="inlineStr">
        <is>
          <t>2024-10-20</t>
        </is>
      </c>
      <c r="C376" t="inlineStr">
        <is>
          <t>P025</t>
        </is>
      </c>
      <c r="D376" t="n">
        <v>7</v>
      </c>
      <c r="E376" t="n">
        <v>404</v>
      </c>
      <c r="F376" t="inlineStr">
        <is>
          <t>South</t>
        </is>
      </c>
    </row>
    <row r="377">
      <c r="A377" t="inlineStr">
        <is>
          <t>T0376</t>
        </is>
      </c>
      <c r="B377" t="inlineStr">
        <is>
          <t>2024-05-09</t>
        </is>
      </c>
      <c r="C377" t="inlineStr">
        <is>
          <t>P048</t>
        </is>
      </c>
      <c r="D377" t="n">
        <v>14</v>
      </c>
      <c r="E377" t="n">
        <v>429</v>
      </c>
      <c r="F377" t="inlineStr">
        <is>
          <t>South</t>
        </is>
      </c>
    </row>
    <row r="378">
      <c r="A378" t="inlineStr">
        <is>
          <t>T0377</t>
        </is>
      </c>
      <c r="B378" t="inlineStr">
        <is>
          <t>2024-10-01</t>
        </is>
      </c>
      <c r="C378" t="inlineStr">
        <is>
          <t>P039</t>
        </is>
      </c>
      <c r="D378" t="n">
        <v>17</v>
      </c>
      <c r="E378" t="n">
        <v>175</v>
      </c>
      <c r="F378" t="inlineStr">
        <is>
          <t>West</t>
        </is>
      </c>
    </row>
    <row r="379">
      <c r="A379" t="inlineStr">
        <is>
          <t>T0378</t>
        </is>
      </c>
      <c r="B379" t="inlineStr">
        <is>
          <t>2024-02-13</t>
        </is>
      </c>
      <c r="C379" t="inlineStr">
        <is>
          <t>P034</t>
        </is>
      </c>
      <c r="D379" t="n">
        <v>17</v>
      </c>
      <c r="E379" t="n">
        <v>160</v>
      </c>
      <c r="F379" t="inlineStr">
        <is>
          <t>South</t>
        </is>
      </c>
    </row>
    <row r="380">
      <c r="A380" t="inlineStr">
        <is>
          <t>T0379</t>
        </is>
      </c>
      <c r="B380" t="inlineStr">
        <is>
          <t>2024-12-15</t>
        </is>
      </c>
      <c r="C380" t="inlineStr">
        <is>
          <t>P029</t>
        </is>
      </c>
      <c r="D380" t="n">
        <v>15</v>
      </c>
      <c r="E380" t="n">
        <v>268</v>
      </c>
      <c r="F380" t="inlineStr">
        <is>
          <t>East</t>
        </is>
      </c>
    </row>
    <row r="381">
      <c r="A381" t="inlineStr">
        <is>
          <t>T0380</t>
        </is>
      </c>
      <c r="B381" t="inlineStr">
        <is>
          <t>2024-10-11</t>
        </is>
      </c>
      <c r="C381" t="inlineStr">
        <is>
          <t>P017</t>
        </is>
      </c>
      <c r="D381" t="n">
        <v>9</v>
      </c>
      <c r="E381" t="n">
        <v>118</v>
      </c>
      <c r="F381" t="inlineStr">
        <is>
          <t>South</t>
        </is>
      </c>
    </row>
    <row r="382">
      <c r="A382" t="inlineStr">
        <is>
          <t>T0381</t>
        </is>
      </c>
      <c r="B382" t="inlineStr">
        <is>
          <t>2024-02-28</t>
        </is>
      </c>
      <c r="C382" t="inlineStr">
        <is>
          <t>P028</t>
        </is>
      </c>
      <c r="D382" t="n">
        <v>15</v>
      </c>
      <c r="E382" t="n">
        <v>287</v>
      </c>
      <c r="F382" t="inlineStr">
        <is>
          <t>North</t>
        </is>
      </c>
    </row>
    <row r="383">
      <c r="A383" t="inlineStr">
        <is>
          <t>T0382</t>
        </is>
      </c>
      <c r="B383" t="inlineStr">
        <is>
          <t>2024-01-10</t>
        </is>
      </c>
      <c r="C383" t="inlineStr">
        <is>
          <t>P048</t>
        </is>
      </c>
      <c r="D383" t="n">
        <v>9</v>
      </c>
      <c r="E383" t="n">
        <v>253</v>
      </c>
      <c r="F383" t="inlineStr">
        <is>
          <t>West</t>
        </is>
      </c>
    </row>
    <row r="384">
      <c r="A384" t="inlineStr">
        <is>
          <t>T0383</t>
        </is>
      </c>
      <c r="B384" t="inlineStr">
        <is>
          <t>2024-08-29</t>
        </is>
      </c>
      <c r="C384" t="inlineStr">
        <is>
          <t>P043</t>
        </is>
      </c>
      <c r="D384" t="n">
        <v>8</v>
      </c>
      <c r="E384" t="n">
        <v>111</v>
      </c>
      <c r="F384" t="inlineStr">
        <is>
          <t>East</t>
        </is>
      </c>
    </row>
    <row r="385">
      <c r="A385" t="inlineStr">
        <is>
          <t>T0384</t>
        </is>
      </c>
      <c r="B385" t="inlineStr">
        <is>
          <t>2024-10-03</t>
        </is>
      </c>
      <c r="C385" t="inlineStr">
        <is>
          <t>P007</t>
        </is>
      </c>
      <c r="D385" t="n">
        <v>13</v>
      </c>
      <c r="E385" t="n">
        <v>102</v>
      </c>
      <c r="F385" t="inlineStr">
        <is>
          <t>South</t>
        </is>
      </c>
    </row>
    <row r="386">
      <c r="A386" t="inlineStr">
        <is>
          <t>T0385</t>
        </is>
      </c>
      <c r="B386" t="inlineStr">
        <is>
          <t>2024-11-13</t>
        </is>
      </c>
      <c r="C386" t="inlineStr">
        <is>
          <t>P048</t>
        </is>
      </c>
      <c r="D386" t="n">
        <v>15</v>
      </c>
      <c r="E386" t="n">
        <v>180</v>
      </c>
      <c r="F386" t="inlineStr">
        <is>
          <t>East</t>
        </is>
      </c>
    </row>
    <row r="387">
      <c r="A387" t="inlineStr">
        <is>
          <t>T0386</t>
        </is>
      </c>
      <c r="B387" t="inlineStr">
        <is>
          <t>2024-11-11</t>
        </is>
      </c>
      <c r="C387" t="inlineStr">
        <is>
          <t>P006</t>
        </is>
      </c>
      <c r="D387" t="n">
        <v>3</v>
      </c>
      <c r="E387" t="n">
        <v>216</v>
      </c>
      <c r="F387" t="inlineStr">
        <is>
          <t>East</t>
        </is>
      </c>
    </row>
    <row r="388">
      <c r="A388" t="inlineStr">
        <is>
          <t>T0387</t>
        </is>
      </c>
      <c r="B388" t="inlineStr">
        <is>
          <t>2024-05-07</t>
        </is>
      </c>
      <c r="C388" t="inlineStr">
        <is>
          <t>P014</t>
        </is>
      </c>
      <c r="D388" t="n">
        <v>7</v>
      </c>
      <c r="E388" t="n">
        <v>90</v>
      </c>
      <c r="F388" t="inlineStr">
        <is>
          <t>North</t>
        </is>
      </c>
    </row>
    <row r="389">
      <c r="A389" t="inlineStr">
        <is>
          <t>T0388</t>
        </is>
      </c>
      <c r="B389" t="inlineStr">
        <is>
          <t>2024-06-10</t>
        </is>
      </c>
      <c r="C389" t="inlineStr">
        <is>
          <t>P041</t>
        </is>
      </c>
      <c r="D389" t="n">
        <v>7</v>
      </c>
      <c r="E389" t="n">
        <v>297</v>
      </c>
      <c r="F389" t="inlineStr">
        <is>
          <t>West</t>
        </is>
      </c>
    </row>
    <row r="390">
      <c r="A390" t="inlineStr">
        <is>
          <t>T0389</t>
        </is>
      </c>
      <c r="B390" t="inlineStr">
        <is>
          <t>2024-03-16</t>
        </is>
      </c>
      <c r="C390" t="inlineStr">
        <is>
          <t>P025</t>
        </is>
      </c>
      <c r="D390" t="n">
        <v>11</v>
      </c>
      <c r="E390" t="n">
        <v>442</v>
      </c>
      <c r="F390" t="inlineStr">
        <is>
          <t>South</t>
        </is>
      </c>
    </row>
    <row r="391">
      <c r="A391" t="inlineStr">
        <is>
          <t>T0390</t>
        </is>
      </c>
      <c r="B391" t="inlineStr">
        <is>
          <t>2024-10-23</t>
        </is>
      </c>
      <c r="C391" t="inlineStr">
        <is>
          <t>P006</t>
        </is>
      </c>
      <c r="D391" t="n">
        <v>6</v>
      </c>
      <c r="E391" t="n">
        <v>261</v>
      </c>
      <c r="F391" t="inlineStr">
        <is>
          <t>South</t>
        </is>
      </c>
    </row>
    <row r="392">
      <c r="A392" t="inlineStr">
        <is>
          <t>T0391</t>
        </is>
      </c>
      <c r="B392" t="inlineStr">
        <is>
          <t>2024-09-26</t>
        </is>
      </c>
      <c r="C392" t="inlineStr">
        <is>
          <t>P015</t>
        </is>
      </c>
      <c r="D392" t="n">
        <v>20</v>
      </c>
      <c r="E392" t="n">
        <v>441</v>
      </c>
      <c r="F392" t="inlineStr">
        <is>
          <t>South</t>
        </is>
      </c>
    </row>
    <row r="393">
      <c r="A393" t="inlineStr">
        <is>
          <t>T0392</t>
        </is>
      </c>
      <c r="B393" t="inlineStr">
        <is>
          <t>2024-03-15</t>
        </is>
      </c>
      <c r="C393" t="inlineStr">
        <is>
          <t>P013</t>
        </is>
      </c>
      <c r="D393" t="n">
        <v>15</v>
      </c>
      <c r="E393" t="n">
        <v>78</v>
      </c>
      <c r="F393" t="inlineStr">
        <is>
          <t>West</t>
        </is>
      </c>
    </row>
    <row r="394">
      <c r="A394" t="inlineStr">
        <is>
          <t>T0393</t>
        </is>
      </c>
      <c r="B394" t="inlineStr">
        <is>
          <t>2024-06-22</t>
        </is>
      </c>
      <c r="C394" t="inlineStr">
        <is>
          <t>P023</t>
        </is>
      </c>
      <c r="D394" t="n">
        <v>10</v>
      </c>
      <c r="E394" t="n">
        <v>245</v>
      </c>
      <c r="F394" t="inlineStr">
        <is>
          <t>South</t>
        </is>
      </c>
    </row>
    <row r="395">
      <c r="A395" t="inlineStr">
        <is>
          <t>T0394</t>
        </is>
      </c>
      <c r="B395" t="inlineStr">
        <is>
          <t>2024-12-29</t>
        </is>
      </c>
      <c r="C395" t="inlineStr">
        <is>
          <t>P039</t>
        </is>
      </c>
      <c r="D395" t="n">
        <v>8</v>
      </c>
      <c r="E395" t="n">
        <v>371</v>
      </c>
      <c r="F395" t="inlineStr">
        <is>
          <t>South</t>
        </is>
      </c>
    </row>
    <row r="396">
      <c r="A396" t="inlineStr">
        <is>
          <t>T0395</t>
        </is>
      </c>
      <c r="B396" t="inlineStr">
        <is>
          <t>2024-03-18</t>
        </is>
      </c>
      <c r="C396" t="inlineStr">
        <is>
          <t>P004</t>
        </is>
      </c>
      <c r="D396" t="n">
        <v>14</v>
      </c>
      <c r="E396" t="n">
        <v>74</v>
      </c>
      <c r="F396" t="inlineStr">
        <is>
          <t>North</t>
        </is>
      </c>
    </row>
    <row r="397">
      <c r="A397" t="inlineStr">
        <is>
          <t>T0396</t>
        </is>
      </c>
      <c r="B397" t="inlineStr">
        <is>
          <t>2024-12-24</t>
        </is>
      </c>
      <c r="C397" t="inlineStr">
        <is>
          <t>P017</t>
        </is>
      </c>
      <c r="D397" t="n">
        <v>10</v>
      </c>
      <c r="E397" t="n">
        <v>366</v>
      </c>
      <c r="F397" t="inlineStr">
        <is>
          <t>West</t>
        </is>
      </c>
    </row>
    <row r="398">
      <c r="A398" t="inlineStr">
        <is>
          <t>T0397</t>
        </is>
      </c>
      <c r="B398" t="inlineStr">
        <is>
          <t>2024-09-02</t>
        </is>
      </c>
      <c r="C398" t="inlineStr">
        <is>
          <t>P033</t>
        </is>
      </c>
      <c r="D398" t="n">
        <v>7</v>
      </c>
      <c r="E398" t="n">
        <v>116</v>
      </c>
      <c r="F398" t="inlineStr">
        <is>
          <t>West</t>
        </is>
      </c>
    </row>
    <row r="399">
      <c r="A399" t="inlineStr">
        <is>
          <t>T0398</t>
        </is>
      </c>
      <c r="B399" t="inlineStr">
        <is>
          <t>2024-01-06</t>
        </is>
      </c>
      <c r="C399" t="inlineStr">
        <is>
          <t>P048</t>
        </is>
      </c>
      <c r="D399" t="n">
        <v>9</v>
      </c>
      <c r="E399" t="n">
        <v>422</v>
      </c>
      <c r="F399" t="inlineStr">
        <is>
          <t>West</t>
        </is>
      </c>
    </row>
    <row r="400">
      <c r="A400" t="inlineStr">
        <is>
          <t>T0399</t>
        </is>
      </c>
      <c r="B400" t="inlineStr">
        <is>
          <t>2024-08-17</t>
        </is>
      </c>
      <c r="C400" t="inlineStr">
        <is>
          <t>P039</t>
        </is>
      </c>
      <c r="D400" t="n">
        <v>1</v>
      </c>
      <c r="E400" t="n">
        <v>69</v>
      </c>
      <c r="F400" t="inlineStr">
        <is>
          <t>West</t>
        </is>
      </c>
    </row>
    <row r="401">
      <c r="A401" t="inlineStr">
        <is>
          <t>T0400</t>
        </is>
      </c>
      <c r="B401" t="inlineStr">
        <is>
          <t>2024-05-20</t>
        </is>
      </c>
      <c r="C401" t="inlineStr">
        <is>
          <t>P046</t>
        </is>
      </c>
      <c r="D401" t="n">
        <v>8</v>
      </c>
      <c r="E401" t="n">
        <v>414</v>
      </c>
      <c r="F401" t="inlineStr">
        <is>
          <t>East</t>
        </is>
      </c>
    </row>
    <row r="402">
      <c r="A402" t="inlineStr">
        <is>
          <t>T0401</t>
        </is>
      </c>
      <c r="B402" t="inlineStr">
        <is>
          <t>2024-01-13</t>
        </is>
      </c>
      <c r="C402" t="inlineStr">
        <is>
          <t>P030</t>
        </is>
      </c>
      <c r="D402" t="n">
        <v>7</v>
      </c>
      <c r="E402" t="n">
        <v>138</v>
      </c>
      <c r="F402" t="inlineStr">
        <is>
          <t>South</t>
        </is>
      </c>
    </row>
    <row r="403">
      <c r="A403" t="inlineStr">
        <is>
          <t>T0402</t>
        </is>
      </c>
      <c r="B403" t="inlineStr">
        <is>
          <t>2024-07-03</t>
        </is>
      </c>
      <c r="C403" t="inlineStr">
        <is>
          <t>P025</t>
        </is>
      </c>
      <c r="D403" t="n">
        <v>20</v>
      </c>
      <c r="E403" t="n">
        <v>454</v>
      </c>
      <c r="F403" t="inlineStr">
        <is>
          <t>West</t>
        </is>
      </c>
    </row>
    <row r="404">
      <c r="A404" t="inlineStr">
        <is>
          <t>T0403</t>
        </is>
      </c>
      <c r="B404" t="inlineStr">
        <is>
          <t>2024-03-13</t>
        </is>
      </c>
      <c r="C404" t="inlineStr">
        <is>
          <t>P018</t>
        </is>
      </c>
      <c r="D404" t="n">
        <v>12</v>
      </c>
      <c r="E404" t="n">
        <v>69</v>
      </c>
      <c r="F404" t="inlineStr">
        <is>
          <t>East</t>
        </is>
      </c>
    </row>
    <row r="405">
      <c r="A405" t="inlineStr">
        <is>
          <t>T0404</t>
        </is>
      </c>
      <c r="B405" t="inlineStr">
        <is>
          <t>2024-10-06</t>
        </is>
      </c>
      <c r="C405" t="inlineStr">
        <is>
          <t>P035</t>
        </is>
      </c>
      <c r="D405" t="n">
        <v>20</v>
      </c>
      <c r="E405" t="n">
        <v>330</v>
      </c>
      <c r="F405" t="inlineStr">
        <is>
          <t>West</t>
        </is>
      </c>
    </row>
    <row r="406">
      <c r="A406" t="inlineStr">
        <is>
          <t>T0405</t>
        </is>
      </c>
      <c r="B406" t="inlineStr">
        <is>
          <t>2024-07-07</t>
        </is>
      </c>
      <c r="C406" t="inlineStr">
        <is>
          <t>P030</t>
        </is>
      </c>
      <c r="D406" t="n">
        <v>19</v>
      </c>
      <c r="E406" t="n">
        <v>188</v>
      </c>
      <c r="F406" t="inlineStr">
        <is>
          <t>South</t>
        </is>
      </c>
    </row>
    <row r="407">
      <c r="A407" t="inlineStr">
        <is>
          <t>T0406</t>
        </is>
      </c>
      <c r="B407" t="inlineStr">
        <is>
          <t>2024-10-28</t>
        </is>
      </c>
      <c r="C407" t="inlineStr">
        <is>
          <t>P041</t>
        </is>
      </c>
      <c r="D407" t="n">
        <v>12</v>
      </c>
      <c r="E407" t="n">
        <v>124</v>
      </c>
      <c r="F407" t="inlineStr">
        <is>
          <t>North</t>
        </is>
      </c>
    </row>
    <row r="408">
      <c r="A408" t="inlineStr">
        <is>
          <t>T0407</t>
        </is>
      </c>
      <c r="B408" t="inlineStr">
        <is>
          <t>2024-03-18</t>
        </is>
      </c>
      <c r="C408" t="inlineStr">
        <is>
          <t>P024</t>
        </is>
      </c>
      <c r="D408" t="n">
        <v>19</v>
      </c>
      <c r="E408" t="n">
        <v>69</v>
      </c>
      <c r="F408" t="inlineStr">
        <is>
          <t>East</t>
        </is>
      </c>
    </row>
    <row r="409">
      <c r="A409" t="inlineStr">
        <is>
          <t>T0408</t>
        </is>
      </c>
      <c r="B409" t="inlineStr">
        <is>
          <t>2024-04-16</t>
        </is>
      </c>
      <c r="C409" t="inlineStr">
        <is>
          <t>P049</t>
        </is>
      </c>
      <c r="D409" t="n">
        <v>13</v>
      </c>
      <c r="E409" t="n">
        <v>211</v>
      </c>
      <c r="F409" t="inlineStr">
        <is>
          <t>North</t>
        </is>
      </c>
    </row>
    <row r="410">
      <c r="A410" t="inlineStr">
        <is>
          <t>T0409</t>
        </is>
      </c>
      <c r="B410" t="inlineStr">
        <is>
          <t>2024-08-26</t>
        </is>
      </c>
      <c r="C410" t="inlineStr">
        <is>
          <t>P015</t>
        </is>
      </c>
      <c r="D410" t="n">
        <v>19</v>
      </c>
      <c r="E410" t="n">
        <v>283</v>
      </c>
      <c r="F410" t="inlineStr">
        <is>
          <t>East</t>
        </is>
      </c>
    </row>
    <row r="411">
      <c r="A411" t="inlineStr">
        <is>
          <t>T0410</t>
        </is>
      </c>
      <c r="B411" t="inlineStr">
        <is>
          <t>2024-09-12</t>
        </is>
      </c>
      <c r="C411" t="inlineStr">
        <is>
          <t>P016</t>
        </is>
      </c>
      <c r="D411" t="n">
        <v>9</v>
      </c>
      <c r="E411" t="n">
        <v>130</v>
      </c>
      <c r="F411" t="inlineStr">
        <is>
          <t>North</t>
        </is>
      </c>
    </row>
    <row r="412">
      <c r="A412" t="inlineStr">
        <is>
          <t>T0411</t>
        </is>
      </c>
      <c r="B412" t="inlineStr">
        <is>
          <t>2024-08-12</t>
        </is>
      </c>
      <c r="C412" t="inlineStr">
        <is>
          <t>P026</t>
        </is>
      </c>
      <c r="D412" t="n">
        <v>8</v>
      </c>
      <c r="E412" t="n">
        <v>403</v>
      </c>
      <c r="F412" t="inlineStr">
        <is>
          <t>South</t>
        </is>
      </c>
    </row>
    <row r="413">
      <c r="A413" t="inlineStr">
        <is>
          <t>T0412</t>
        </is>
      </c>
      <c r="B413" t="inlineStr">
        <is>
          <t>2024-08-19</t>
        </is>
      </c>
      <c r="C413" t="inlineStr">
        <is>
          <t>P048</t>
        </is>
      </c>
      <c r="D413" t="n">
        <v>2</v>
      </c>
      <c r="E413" t="n">
        <v>199</v>
      </c>
      <c r="F413" t="inlineStr">
        <is>
          <t>North</t>
        </is>
      </c>
    </row>
    <row r="414">
      <c r="A414" t="inlineStr">
        <is>
          <t>T0413</t>
        </is>
      </c>
      <c r="B414" t="inlineStr">
        <is>
          <t>2024-05-26</t>
        </is>
      </c>
      <c r="C414" t="inlineStr">
        <is>
          <t>P044</t>
        </is>
      </c>
      <c r="D414" t="n">
        <v>17</v>
      </c>
      <c r="E414" t="n">
        <v>149</v>
      </c>
      <c r="F414" t="inlineStr">
        <is>
          <t>North</t>
        </is>
      </c>
    </row>
    <row r="415">
      <c r="A415" t="inlineStr">
        <is>
          <t>T0414</t>
        </is>
      </c>
      <c r="B415" t="inlineStr">
        <is>
          <t>2024-12-06</t>
        </is>
      </c>
      <c r="C415" t="inlineStr">
        <is>
          <t>P001</t>
        </is>
      </c>
      <c r="D415" t="n">
        <v>9</v>
      </c>
      <c r="E415" t="n">
        <v>270</v>
      </c>
      <c r="F415" t="inlineStr">
        <is>
          <t>East</t>
        </is>
      </c>
    </row>
    <row r="416">
      <c r="A416" t="inlineStr">
        <is>
          <t>T0415</t>
        </is>
      </c>
      <c r="B416" t="inlineStr">
        <is>
          <t>2024-11-30</t>
        </is>
      </c>
      <c r="C416" t="inlineStr">
        <is>
          <t>P015</t>
        </is>
      </c>
      <c r="D416" t="n">
        <v>3</v>
      </c>
      <c r="E416" t="n">
        <v>214</v>
      </c>
      <c r="F416" t="inlineStr">
        <is>
          <t>West</t>
        </is>
      </c>
    </row>
    <row r="417">
      <c r="A417" t="inlineStr">
        <is>
          <t>T0416</t>
        </is>
      </c>
      <c r="B417" t="inlineStr">
        <is>
          <t>2024-12-15</t>
        </is>
      </c>
      <c r="C417" t="inlineStr">
        <is>
          <t>P013</t>
        </is>
      </c>
      <c r="D417" t="n">
        <v>15</v>
      </c>
      <c r="E417" t="n">
        <v>393</v>
      </c>
      <c r="F417" t="inlineStr">
        <is>
          <t>North</t>
        </is>
      </c>
    </row>
    <row r="418">
      <c r="A418" t="inlineStr">
        <is>
          <t>T0417</t>
        </is>
      </c>
      <c r="B418" t="inlineStr">
        <is>
          <t>2024-12-26</t>
        </is>
      </c>
      <c r="C418" t="inlineStr">
        <is>
          <t>P028</t>
        </is>
      </c>
      <c r="D418" t="n">
        <v>7</v>
      </c>
      <c r="E418" t="n">
        <v>379</v>
      </c>
      <c r="F418" t="inlineStr">
        <is>
          <t>North</t>
        </is>
      </c>
    </row>
    <row r="419">
      <c r="A419" t="inlineStr">
        <is>
          <t>T0418</t>
        </is>
      </c>
      <c r="B419" t="inlineStr">
        <is>
          <t>2024-11-28</t>
        </is>
      </c>
      <c r="C419" t="inlineStr">
        <is>
          <t>P024</t>
        </is>
      </c>
      <c r="D419" t="n">
        <v>13</v>
      </c>
      <c r="E419" t="n">
        <v>488</v>
      </c>
      <c r="F419" t="inlineStr">
        <is>
          <t>West</t>
        </is>
      </c>
    </row>
    <row r="420">
      <c r="A420" t="inlineStr">
        <is>
          <t>T0419</t>
        </is>
      </c>
      <c r="B420" t="inlineStr">
        <is>
          <t>2024-01-07</t>
        </is>
      </c>
      <c r="C420" t="inlineStr">
        <is>
          <t>P006</t>
        </is>
      </c>
      <c r="D420" t="n">
        <v>14</v>
      </c>
      <c r="E420" t="n">
        <v>287</v>
      </c>
      <c r="F420" t="inlineStr">
        <is>
          <t>East</t>
        </is>
      </c>
    </row>
    <row r="421">
      <c r="A421" t="inlineStr">
        <is>
          <t>T0420</t>
        </is>
      </c>
      <c r="B421" t="inlineStr">
        <is>
          <t>2024-10-05</t>
        </is>
      </c>
      <c r="C421" t="inlineStr">
        <is>
          <t>P038</t>
        </is>
      </c>
      <c r="D421" t="n">
        <v>17</v>
      </c>
      <c r="E421" t="n">
        <v>324</v>
      </c>
      <c r="F421" t="inlineStr">
        <is>
          <t>North</t>
        </is>
      </c>
    </row>
    <row r="422">
      <c r="A422" t="inlineStr">
        <is>
          <t>T0421</t>
        </is>
      </c>
      <c r="B422" t="inlineStr">
        <is>
          <t>2024-12-29</t>
        </is>
      </c>
      <c r="C422" t="inlineStr">
        <is>
          <t>P026</t>
        </is>
      </c>
      <c r="D422" t="n">
        <v>20</v>
      </c>
      <c r="E422" t="n">
        <v>74</v>
      </c>
      <c r="F422" t="inlineStr">
        <is>
          <t>East</t>
        </is>
      </c>
    </row>
    <row r="423">
      <c r="A423" t="inlineStr">
        <is>
          <t>T0422</t>
        </is>
      </c>
      <c r="B423" t="inlineStr">
        <is>
          <t>2024-02-06</t>
        </is>
      </c>
      <c r="C423" t="inlineStr">
        <is>
          <t>P011</t>
        </is>
      </c>
      <c r="D423" t="n">
        <v>9</v>
      </c>
      <c r="E423" t="n">
        <v>125</v>
      </c>
      <c r="F423" t="inlineStr">
        <is>
          <t>North</t>
        </is>
      </c>
    </row>
    <row r="424">
      <c r="A424" t="inlineStr">
        <is>
          <t>T0423</t>
        </is>
      </c>
      <c r="B424" t="inlineStr">
        <is>
          <t>2024-05-28</t>
        </is>
      </c>
      <c r="C424" t="inlineStr">
        <is>
          <t>P003</t>
        </is>
      </c>
      <c r="D424" t="n">
        <v>11</v>
      </c>
      <c r="E424" t="n">
        <v>171</v>
      </c>
      <c r="F424" t="inlineStr">
        <is>
          <t>East</t>
        </is>
      </c>
    </row>
    <row r="425">
      <c r="A425" t="inlineStr">
        <is>
          <t>T0424</t>
        </is>
      </c>
      <c r="B425" t="inlineStr">
        <is>
          <t>2024-05-30</t>
        </is>
      </c>
      <c r="C425" t="inlineStr">
        <is>
          <t>P031</t>
        </is>
      </c>
      <c r="D425" t="n">
        <v>16</v>
      </c>
      <c r="E425" t="n">
        <v>482</v>
      </c>
      <c r="F425" t="inlineStr">
        <is>
          <t>West</t>
        </is>
      </c>
    </row>
    <row r="426">
      <c r="A426" t="inlineStr">
        <is>
          <t>T0425</t>
        </is>
      </c>
      <c r="B426" t="inlineStr">
        <is>
          <t>2024-12-04</t>
        </is>
      </c>
      <c r="C426" t="inlineStr">
        <is>
          <t>P041</t>
        </is>
      </c>
      <c r="D426" t="n">
        <v>17</v>
      </c>
      <c r="E426" t="n">
        <v>91</v>
      </c>
      <c r="F426" t="inlineStr">
        <is>
          <t>North</t>
        </is>
      </c>
    </row>
    <row r="427">
      <c r="A427" t="inlineStr">
        <is>
          <t>T0426</t>
        </is>
      </c>
      <c r="B427" t="inlineStr">
        <is>
          <t>2024-10-30</t>
        </is>
      </c>
      <c r="C427" t="inlineStr">
        <is>
          <t>P001</t>
        </is>
      </c>
      <c r="D427" t="n">
        <v>3</v>
      </c>
      <c r="E427" t="n">
        <v>183</v>
      </c>
      <c r="F427" t="inlineStr">
        <is>
          <t>East</t>
        </is>
      </c>
    </row>
    <row r="428">
      <c r="A428" t="inlineStr">
        <is>
          <t>T0427</t>
        </is>
      </c>
      <c r="B428" t="inlineStr">
        <is>
          <t>2024-09-20</t>
        </is>
      </c>
      <c r="C428" t="inlineStr">
        <is>
          <t>P010</t>
        </is>
      </c>
      <c r="D428" t="n">
        <v>6</v>
      </c>
      <c r="E428" t="n">
        <v>336</v>
      </c>
      <c r="F428" t="inlineStr">
        <is>
          <t>South</t>
        </is>
      </c>
    </row>
    <row r="429">
      <c r="A429" t="inlineStr">
        <is>
          <t>T0428</t>
        </is>
      </c>
      <c r="B429" t="inlineStr">
        <is>
          <t>2024-03-27</t>
        </is>
      </c>
      <c r="C429" t="inlineStr">
        <is>
          <t>P018</t>
        </is>
      </c>
      <c r="D429" t="n">
        <v>19</v>
      </c>
      <c r="E429" t="n">
        <v>298</v>
      </c>
      <c r="F429" t="inlineStr">
        <is>
          <t>North</t>
        </is>
      </c>
    </row>
    <row r="430">
      <c r="A430" t="inlineStr">
        <is>
          <t>T0429</t>
        </is>
      </c>
      <c r="B430" t="inlineStr">
        <is>
          <t>2024-04-08</t>
        </is>
      </c>
      <c r="C430" t="inlineStr">
        <is>
          <t>P026</t>
        </is>
      </c>
      <c r="D430" t="n">
        <v>2</v>
      </c>
      <c r="E430" t="n">
        <v>169</v>
      </c>
      <c r="F430" t="inlineStr">
        <is>
          <t>South</t>
        </is>
      </c>
    </row>
    <row r="431">
      <c r="A431" t="inlineStr">
        <is>
          <t>T0430</t>
        </is>
      </c>
      <c r="B431" t="inlineStr">
        <is>
          <t>2024-03-20</t>
        </is>
      </c>
      <c r="C431" t="inlineStr">
        <is>
          <t>P008</t>
        </is>
      </c>
      <c r="D431" t="n">
        <v>4</v>
      </c>
      <c r="E431" t="n">
        <v>64</v>
      </c>
      <c r="F431" t="inlineStr">
        <is>
          <t>West</t>
        </is>
      </c>
    </row>
    <row r="432">
      <c r="A432" t="inlineStr">
        <is>
          <t>T0431</t>
        </is>
      </c>
      <c r="B432" t="inlineStr">
        <is>
          <t>2024-02-05</t>
        </is>
      </c>
      <c r="C432" t="inlineStr">
        <is>
          <t>P027</t>
        </is>
      </c>
      <c r="D432" t="n">
        <v>4</v>
      </c>
      <c r="E432" t="n">
        <v>496</v>
      </c>
      <c r="F432" t="inlineStr">
        <is>
          <t>North</t>
        </is>
      </c>
    </row>
    <row r="433">
      <c r="A433" t="inlineStr">
        <is>
          <t>T0432</t>
        </is>
      </c>
      <c r="B433" t="inlineStr">
        <is>
          <t>2024-12-25</t>
        </is>
      </c>
      <c r="C433" t="inlineStr">
        <is>
          <t>P018</t>
        </is>
      </c>
      <c r="D433" t="n">
        <v>17</v>
      </c>
      <c r="E433" t="n">
        <v>107</v>
      </c>
      <c r="F433" t="inlineStr">
        <is>
          <t>North</t>
        </is>
      </c>
    </row>
    <row r="434">
      <c r="A434" t="inlineStr">
        <is>
          <t>T0433</t>
        </is>
      </c>
      <c r="B434" t="inlineStr">
        <is>
          <t>2024-04-20</t>
        </is>
      </c>
      <c r="C434" t="inlineStr">
        <is>
          <t>P049</t>
        </is>
      </c>
      <c r="D434" t="n">
        <v>14</v>
      </c>
      <c r="E434" t="n">
        <v>106</v>
      </c>
      <c r="F434" t="inlineStr">
        <is>
          <t>East</t>
        </is>
      </c>
    </row>
    <row r="435">
      <c r="A435" t="inlineStr">
        <is>
          <t>T0434</t>
        </is>
      </c>
      <c r="B435" t="inlineStr">
        <is>
          <t>2024-10-17</t>
        </is>
      </c>
      <c r="C435" t="inlineStr">
        <is>
          <t>P005</t>
        </is>
      </c>
      <c r="D435" t="n">
        <v>9</v>
      </c>
      <c r="E435" t="n">
        <v>147</v>
      </c>
      <c r="F435" t="inlineStr">
        <is>
          <t>North</t>
        </is>
      </c>
    </row>
    <row r="436">
      <c r="A436" t="inlineStr">
        <is>
          <t>T0435</t>
        </is>
      </c>
      <c r="B436" t="inlineStr">
        <is>
          <t>2024-01-20</t>
        </is>
      </c>
      <c r="C436" t="inlineStr">
        <is>
          <t>P022</t>
        </is>
      </c>
      <c r="D436" t="n">
        <v>3</v>
      </c>
      <c r="E436" t="n">
        <v>282</v>
      </c>
      <c r="F436" t="inlineStr">
        <is>
          <t>West</t>
        </is>
      </c>
    </row>
    <row r="437">
      <c r="A437" t="inlineStr">
        <is>
          <t>T0436</t>
        </is>
      </c>
      <c r="B437" t="inlineStr">
        <is>
          <t>2024-01-04</t>
        </is>
      </c>
      <c r="C437" t="inlineStr">
        <is>
          <t>P002</t>
        </is>
      </c>
      <c r="D437" t="n">
        <v>15</v>
      </c>
      <c r="E437" t="n">
        <v>464</v>
      </c>
      <c r="F437" t="inlineStr">
        <is>
          <t>East</t>
        </is>
      </c>
    </row>
    <row r="438">
      <c r="A438" t="inlineStr">
        <is>
          <t>T0437</t>
        </is>
      </c>
      <c r="B438" t="inlineStr">
        <is>
          <t>2024-07-08</t>
        </is>
      </c>
      <c r="C438" t="inlineStr">
        <is>
          <t>P050</t>
        </is>
      </c>
      <c r="D438" t="n">
        <v>16</v>
      </c>
      <c r="E438" t="n">
        <v>72</v>
      </c>
      <c r="F438" t="inlineStr">
        <is>
          <t>South</t>
        </is>
      </c>
    </row>
    <row r="439">
      <c r="A439" t="inlineStr">
        <is>
          <t>T0438</t>
        </is>
      </c>
      <c r="B439" t="inlineStr">
        <is>
          <t>2024-07-08</t>
        </is>
      </c>
      <c r="C439" t="inlineStr">
        <is>
          <t>P008</t>
        </is>
      </c>
      <c r="D439" t="n">
        <v>7</v>
      </c>
      <c r="E439" t="n">
        <v>98</v>
      </c>
      <c r="F439" t="inlineStr">
        <is>
          <t>North</t>
        </is>
      </c>
    </row>
    <row r="440">
      <c r="A440" t="inlineStr">
        <is>
          <t>T0439</t>
        </is>
      </c>
      <c r="B440" t="inlineStr">
        <is>
          <t>2024-08-17</t>
        </is>
      </c>
      <c r="C440" t="inlineStr">
        <is>
          <t>P011</t>
        </is>
      </c>
      <c r="D440" t="n">
        <v>20</v>
      </c>
      <c r="E440" t="n">
        <v>99</v>
      </c>
      <c r="F440" t="inlineStr">
        <is>
          <t>East</t>
        </is>
      </c>
    </row>
    <row r="441">
      <c r="A441" t="inlineStr">
        <is>
          <t>T0440</t>
        </is>
      </c>
      <c r="B441" t="inlineStr">
        <is>
          <t>2024-11-18</t>
        </is>
      </c>
      <c r="C441" t="inlineStr">
        <is>
          <t>P023</t>
        </is>
      </c>
      <c r="D441" t="n">
        <v>10</v>
      </c>
      <c r="E441" t="n">
        <v>233</v>
      </c>
      <c r="F441" t="inlineStr">
        <is>
          <t>South</t>
        </is>
      </c>
    </row>
    <row r="442">
      <c r="A442" t="inlineStr">
        <is>
          <t>T0441</t>
        </is>
      </c>
      <c r="B442" t="inlineStr">
        <is>
          <t>2024-04-15</t>
        </is>
      </c>
      <c r="C442" t="inlineStr">
        <is>
          <t>P014</t>
        </is>
      </c>
      <c r="D442" t="n">
        <v>7</v>
      </c>
      <c r="E442" t="n">
        <v>363</v>
      </c>
      <c r="F442" t="inlineStr">
        <is>
          <t>West</t>
        </is>
      </c>
    </row>
    <row r="443">
      <c r="A443" t="inlineStr">
        <is>
          <t>T0442</t>
        </is>
      </c>
      <c r="B443" t="inlineStr">
        <is>
          <t>2024-01-17</t>
        </is>
      </c>
      <c r="C443" t="inlineStr">
        <is>
          <t>P047</t>
        </is>
      </c>
      <c r="D443" t="n">
        <v>19</v>
      </c>
      <c r="E443" t="n">
        <v>430</v>
      </c>
      <c r="F443" t="inlineStr">
        <is>
          <t>West</t>
        </is>
      </c>
    </row>
    <row r="444">
      <c r="A444" t="inlineStr">
        <is>
          <t>T0443</t>
        </is>
      </c>
      <c r="B444" t="inlineStr">
        <is>
          <t>2024-08-28</t>
        </is>
      </c>
      <c r="C444" t="inlineStr">
        <is>
          <t>P011</t>
        </is>
      </c>
      <c r="D444" t="n">
        <v>2</v>
      </c>
      <c r="E444" t="n">
        <v>183</v>
      </c>
      <c r="F444" t="inlineStr">
        <is>
          <t>North</t>
        </is>
      </c>
    </row>
    <row r="445">
      <c r="A445" t="inlineStr">
        <is>
          <t>T0444</t>
        </is>
      </c>
      <c r="B445" t="inlineStr">
        <is>
          <t>2024-08-17</t>
        </is>
      </c>
      <c r="C445" t="inlineStr">
        <is>
          <t>P036</t>
        </is>
      </c>
      <c r="D445" t="n">
        <v>17</v>
      </c>
      <c r="E445" t="n">
        <v>297</v>
      </c>
      <c r="F445" t="inlineStr">
        <is>
          <t>East</t>
        </is>
      </c>
    </row>
    <row r="446">
      <c r="A446" t="inlineStr">
        <is>
          <t>T0445</t>
        </is>
      </c>
      <c r="B446" t="inlineStr">
        <is>
          <t>2024-09-11</t>
        </is>
      </c>
      <c r="C446" t="inlineStr">
        <is>
          <t>P044</t>
        </is>
      </c>
      <c r="D446" t="n">
        <v>7</v>
      </c>
      <c r="E446" t="n">
        <v>77</v>
      </c>
      <c r="F446" t="inlineStr">
        <is>
          <t>East</t>
        </is>
      </c>
    </row>
    <row r="447">
      <c r="A447" t="inlineStr">
        <is>
          <t>T0446</t>
        </is>
      </c>
      <c r="B447" t="inlineStr">
        <is>
          <t>2024-10-11</t>
        </is>
      </c>
      <c r="C447" t="inlineStr">
        <is>
          <t>P041</t>
        </is>
      </c>
      <c r="D447" t="n">
        <v>18</v>
      </c>
      <c r="E447" t="n">
        <v>217</v>
      </c>
      <c r="F447" t="inlineStr">
        <is>
          <t>West</t>
        </is>
      </c>
    </row>
    <row r="448">
      <c r="A448" t="inlineStr">
        <is>
          <t>T0447</t>
        </is>
      </c>
      <c r="B448" t="inlineStr">
        <is>
          <t>2024-12-29</t>
        </is>
      </c>
      <c r="C448" t="inlineStr">
        <is>
          <t>P033</t>
        </is>
      </c>
      <c r="D448" t="n">
        <v>20</v>
      </c>
      <c r="E448" t="n">
        <v>338</v>
      </c>
      <c r="F448" t="inlineStr">
        <is>
          <t>West</t>
        </is>
      </c>
    </row>
    <row r="449">
      <c r="A449" t="inlineStr">
        <is>
          <t>T0448</t>
        </is>
      </c>
      <c r="B449" t="inlineStr">
        <is>
          <t>2024-03-12</t>
        </is>
      </c>
      <c r="C449" t="inlineStr">
        <is>
          <t>P016</t>
        </is>
      </c>
      <c r="D449" t="n">
        <v>14</v>
      </c>
      <c r="E449" t="n">
        <v>225</v>
      </c>
      <c r="F449" t="inlineStr">
        <is>
          <t>South</t>
        </is>
      </c>
    </row>
    <row r="450">
      <c r="A450" t="inlineStr">
        <is>
          <t>T0449</t>
        </is>
      </c>
      <c r="B450" t="inlineStr">
        <is>
          <t>2024-04-16</t>
        </is>
      </c>
      <c r="C450" t="inlineStr">
        <is>
          <t>P014</t>
        </is>
      </c>
      <c r="D450" t="n">
        <v>4</v>
      </c>
      <c r="E450" t="n">
        <v>360</v>
      </c>
      <c r="F450" t="inlineStr">
        <is>
          <t>North</t>
        </is>
      </c>
    </row>
    <row r="451">
      <c r="A451" t="inlineStr">
        <is>
          <t>T0450</t>
        </is>
      </c>
      <c r="B451" t="inlineStr">
        <is>
          <t>2024-04-06</t>
        </is>
      </c>
      <c r="C451" t="inlineStr">
        <is>
          <t>P023</t>
        </is>
      </c>
      <c r="D451" t="n">
        <v>10</v>
      </c>
      <c r="E451" t="n">
        <v>87</v>
      </c>
      <c r="F451" t="inlineStr">
        <is>
          <t>West</t>
        </is>
      </c>
    </row>
    <row r="452">
      <c r="A452" t="inlineStr">
        <is>
          <t>T0451</t>
        </is>
      </c>
      <c r="B452" t="inlineStr">
        <is>
          <t>2024-12-09</t>
        </is>
      </c>
      <c r="C452" t="inlineStr">
        <is>
          <t>P006</t>
        </is>
      </c>
      <c r="D452" t="n">
        <v>13</v>
      </c>
      <c r="E452" t="n">
        <v>53</v>
      </c>
      <c r="F452" t="inlineStr">
        <is>
          <t>North</t>
        </is>
      </c>
    </row>
    <row r="453">
      <c r="A453" t="inlineStr">
        <is>
          <t>T0452</t>
        </is>
      </c>
      <c r="B453" t="inlineStr">
        <is>
          <t>2024-07-12</t>
        </is>
      </c>
      <c r="C453" t="inlineStr">
        <is>
          <t>P017</t>
        </is>
      </c>
      <c r="D453" t="n">
        <v>2</v>
      </c>
      <c r="E453" t="n">
        <v>492</v>
      </c>
      <c r="F453" t="inlineStr">
        <is>
          <t>West</t>
        </is>
      </c>
    </row>
    <row r="454">
      <c r="A454" t="inlineStr">
        <is>
          <t>T0453</t>
        </is>
      </c>
      <c r="B454" t="inlineStr">
        <is>
          <t>2024-10-15</t>
        </is>
      </c>
      <c r="C454" t="inlineStr">
        <is>
          <t>P007</t>
        </is>
      </c>
      <c r="D454" t="n">
        <v>10</v>
      </c>
      <c r="E454" t="n">
        <v>491</v>
      </c>
      <c r="F454" t="inlineStr">
        <is>
          <t>South</t>
        </is>
      </c>
    </row>
    <row r="455">
      <c r="A455" t="inlineStr">
        <is>
          <t>T0454</t>
        </is>
      </c>
      <c r="B455" t="inlineStr">
        <is>
          <t>2024-02-03</t>
        </is>
      </c>
      <c r="C455" t="inlineStr">
        <is>
          <t>P012</t>
        </is>
      </c>
      <c r="D455" t="n">
        <v>18</v>
      </c>
      <c r="E455" t="n">
        <v>369</v>
      </c>
      <c r="F455" t="inlineStr">
        <is>
          <t>East</t>
        </is>
      </c>
    </row>
    <row r="456">
      <c r="A456" t="inlineStr">
        <is>
          <t>T0455</t>
        </is>
      </c>
      <c r="B456" t="inlineStr">
        <is>
          <t>2024-10-29</t>
        </is>
      </c>
      <c r="C456" t="inlineStr">
        <is>
          <t>P012</t>
        </is>
      </c>
      <c r="D456" t="n">
        <v>14</v>
      </c>
      <c r="E456" t="n">
        <v>212</v>
      </c>
      <c r="F456" t="inlineStr">
        <is>
          <t>West</t>
        </is>
      </c>
    </row>
    <row r="457">
      <c r="A457" t="inlineStr">
        <is>
          <t>T0456</t>
        </is>
      </c>
      <c r="B457" t="inlineStr">
        <is>
          <t>2024-06-20</t>
        </is>
      </c>
      <c r="C457" t="inlineStr">
        <is>
          <t>P033</t>
        </is>
      </c>
      <c r="D457" t="n">
        <v>7</v>
      </c>
      <c r="E457" t="n">
        <v>104</v>
      </c>
      <c r="F457" t="inlineStr">
        <is>
          <t>East</t>
        </is>
      </c>
    </row>
    <row r="458">
      <c r="A458" t="inlineStr">
        <is>
          <t>T0457</t>
        </is>
      </c>
      <c r="B458" t="inlineStr">
        <is>
          <t>2024-07-08</t>
        </is>
      </c>
      <c r="C458" t="inlineStr">
        <is>
          <t>P004</t>
        </is>
      </c>
      <c r="D458" t="n">
        <v>4</v>
      </c>
      <c r="E458" t="n">
        <v>431</v>
      </c>
      <c r="F458" t="inlineStr">
        <is>
          <t>East</t>
        </is>
      </c>
    </row>
    <row r="459">
      <c r="A459" t="inlineStr">
        <is>
          <t>T0458</t>
        </is>
      </c>
      <c r="B459" t="inlineStr">
        <is>
          <t>2024-04-15</t>
        </is>
      </c>
      <c r="C459" t="inlineStr">
        <is>
          <t>P009</t>
        </is>
      </c>
      <c r="D459" t="n">
        <v>1</v>
      </c>
      <c r="E459" t="n">
        <v>306</v>
      </c>
      <c r="F459" t="inlineStr">
        <is>
          <t>West</t>
        </is>
      </c>
    </row>
    <row r="460">
      <c r="A460" t="inlineStr">
        <is>
          <t>T0459</t>
        </is>
      </c>
      <c r="B460" t="inlineStr">
        <is>
          <t>2024-01-10</t>
        </is>
      </c>
      <c r="C460" t="inlineStr">
        <is>
          <t>P010</t>
        </is>
      </c>
      <c r="D460" t="n">
        <v>15</v>
      </c>
      <c r="E460" t="n">
        <v>193</v>
      </c>
      <c r="F460" t="inlineStr">
        <is>
          <t>West</t>
        </is>
      </c>
    </row>
    <row r="461">
      <c r="A461" t="inlineStr">
        <is>
          <t>T0460</t>
        </is>
      </c>
      <c r="B461" t="inlineStr">
        <is>
          <t>2024-07-15</t>
        </is>
      </c>
      <c r="C461" t="inlineStr">
        <is>
          <t>P037</t>
        </is>
      </c>
      <c r="D461" t="n">
        <v>4</v>
      </c>
      <c r="E461" t="n">
        <v>90</v>
      </c>
      <c r="F461" t="inlineStr">
        <is>
          <t>East</t>
        </is>
      </c>
    </row>
    <row r="462">
      <c r="A462" t="inlineStr">
        <is>
          <t>T0461</t>
        </is>
      </c>
      <c r="B462" t="inlineStr">
        <is>
          <t>2024-12-31</t>
        </is>
      </c>
      <c r="C462" t="inlineStr">
        <is>
          <t>P031</t>
        </is>
      </c>
      <c r="D462" t="n">
        <v>18</v>
      </c>
      <c r="E462" t="n">
        <v>82</v>
      </c>
      <c r="F462" t="inlineStr">
        <is>
          <t>West</t>
        </is>
      </c>
    </row>
    <row r="463">
      <c r="A463" t="inlineStr">
        <is>
          <t>T0462</t>
        </is>
      </c>
      <c r="B463" t="inlineStr">
        <is>
          <t>2024-12-27</t>
        </is>
      </c>
      <c r="C463" t="inlineStr">
        <is>
          <t>P023</t>
        </is>
      </c>
      <c r="D463" t="n">
        <v>9</v>
      </c>
      <c r="E463" t="n">
        <v>100</v>
      </c>
      <c r="F463" t="inlineStr">
        <is>
          <t>North</t>
        </is>
      </c>
    </row>
    <row r="464">
      <c r="A464" t="inlineStr">
        <is>
          <t>T0463</t>
        </is>
      </c>
      <c r="B464" t="inlineStr">
        <is>
          <t>2024-12-23</t>
        </is>
      </c>
      <c r="C464" t="inlineStr">
        <is>
          <t>P025</t>
        </is>
      </c>
      <c r="D464" t="n">
        <v>13</v>
      </c>
      <c r="E464" t="n">
        <v>213</v>
      </c>
      <c r="F464" t="inlineStr">
        <is>
          <t>East</t>
        </is>
      </c>
    </row>
    <row r="465">
      <c r="A465" t="inlineStr">
        <is>
          <t>T0464</t>
        </is>
      </c>
      <c r="B465" t="inlineStr">
        <is>
          <t>2024-09-18</t>
        </is>
      </c>
      <c r="C465" t="inlineStr">
        <is>
          <t>P036</t>
        </is>
      </c>
      <c r="D465" t="n">
        <v>16</v>
      </c>
      <c r="E465" t="n">
        <v>78</v>
      </c>
      <c r="F465" t="inlineStr">
        <is>
          <t>West</t>
        </is>
      </c>
    </row>
    <row r="466">
      <c r="A466" t="inlineStr">
        <is>
          <t>T0465</t>
        </is>
      </c>
      <c r="B466" t="inlineStr">
        <is>
          <t>2024-09-11</t>
        </is>
      </c>
      <c r="C466" t="inlineStr">
        <is>
          <t>P015</t>
        </is>
      </c>
      <c r="D466" t="n">
        <v>16</v>
      </c>
      <c r="E466" t="n">
        <v>81</v>
      </c>
      <c r="F466" t="inlineStr">
        <is>
          <t>West</t>
        </is>
      </c>
    </row>
    <row r="467">
      <c r="A467" t="inlineStr">
        <is>
          <t>T0466</t>
        </is>
      </c>
      <c r="B467" t="inlineStr">
        <is>
          <t>2024-10-03</t>
        </is>
      </c>
      <c r="C467" t="inlineStr">
        <is>
          <t>P036</t>
        </is>
      </c>
      <c r="D467" t="n">
        <v>8</v>
      </c>
      <c r="E467" t="n">
        <v>283</v>
      </c>
      <c r="F467" t="inlineStr">
        <is>
          <t>North</t>
        </is>
      </c>
    </row>
    <row r="468">
      <c r="A468" t="inlineStr">
        <is>
          <t>T0467</t>
        </is>
      </c>
      <c r="B468" t="inlineStr">
        <is>
          <t>2024-12-17</t>
        </is>
      </c>
      <c r="C468" t="inlineStr">
        <is>
          <t>P032</t>
        </is>
      </c>
      <c r="D468" t="n">
        <v>4</v>
      </c>
      <c r="E468" t="n">
        <v>485</v>
      </c>
      <c r="F468" t="inlineStr">
        <is>
          <t>West</t>
        </is>
      </c>
    </row>
    <row r="469">
      <c r="A469" t="inlineStr">
        <is>
          <t>T0468</t>
        </is>
      </c>
      <c r="B469" t="inlineStr">
        <is>
          <t>2024-05-24</t>
        </is>
      </c>
      <c r="C469" t="inlineStr">
        <is>
          <t>P032</t>
        </is>
      </c>
      <c r="D469" t="n">
        <v>18</v>
      </c>
      <c r="E469" t="n">
        <v>348</v>
      </c>
      <c r="F469" t="inlineStr">
        <is>
          <t>South</t>
        </is>
      </c>
    </row>
    <row r="470">
      <c r="A470" t="inlineStr">
        <is>
          <t>T0469</t>
        </is>
      </c>
      <c r="B470" t="inlineStr">
        <is>
          <t>2024-04-13</t>
        </is>
      </c>
      <c r="C470" t="inlineStr">
        <is>
          <t>P034</t>
        </is>
      </c>
      <c r="D470" t="n">
        <v>1</v>
      </c>
      <c r="E470" t="n">
        <v>412</v>
      </c>
      <c r="F470" t="inlineStr">
        <is>
          <t>West</t>
        </is>
      </c>
    </row>
    <row r="471">
      <c r="A471" t="inlineStr">
        <is>
          <t>T0470</t>
        </is>
      </c>
      <c r="B471" t="inlineStr">
        <is>
          <t>2024-09-02</t>
        </is>
      </c>
      <c r="C471" t="inlineStr">
        <is>
          <t>P004</t>
        </is>
      </c>
      <c r="D471" t="n">
        <v>4</v>
      </c>
      <c r="E471" t="n">
        <v>364</v>
      </c>
      <c r="F471" t="inlineStr">
        <is>
          <t>South</t>
        </is>
      </c>
    </row>
    <row r="472">
      <c r="A472" t="inlineStr">
        <is>
          <t>T0471</t>
        </is>
      </c>
      <c r="B472" t="inlineStr">
        <is>
          <t>2024-01-21</t>
        </is>
      </c>
      <c r="C472" t="inlineStr">
        <is>
          <t>P028</t>
        </is>
      </c>
      <c r="D472" t="n">
        <v>10</v>
      </c>
      <c r="E472" t="n">
        <v>343</v>
      </c>
      <c r="F472" t="inlineStr">
        <is>
          <t>East</t>
        </is>
      </c>
    </row>
    <row r="473">
      <c r="A473" t="inlineStr">
        <is>
          <t>T0472</t>
        </is>
      </c>
      <c r="B473" t="inlineStr">
        <is>
          <t>2024-05-01</t>
        </is>
      </c>
      <c r="C473" t="inlineStr">
        <is>
          <t>P046</t>
        </is>
      </c>
      <c r="D473" t="n">
        <v>10</v>
      </c>
      <c r="E473" t="n">
        <v>51</v>
      </c>
      <c r="F473" t="inlineStr">
        <is>
          <t>East</t>
        </is>
      </c>
    </row>
    <row r="474">
      <c r="A474" t="inlineStr">
        <is>
          <t>T0473</t>
        </is>
      </c>
      <c r="B474" t="inlineStr">
        <is>
          <t>2024-01-15</t>
        </is>
      </c>
      <c r="C474" t="inlineStr">
        <is>
          <t>P004</t>
        </is>
      </c>
      <c r="D474" t="n">
        <v>13</v>
      </c>
      <c r="E474" t="n">
        <v>71</v>
      </c>
      <c r="F474" t="inlineStr">
        <is>
          <t>East</t>
        </is>
      </c>
    </row>
    <row r="475">
      <c r="A475" t="inlineStr">
        <is>
          <t>T0474</t>
        </is>
      </c>
      <c r="B475" t="inlineStr">
        <is>
          <t>2024-11-26</t>
        </is>
      </c>
      <c r="C475" t="inlineStr">
        <is>
          <t>P042</t>
        </is>
      </c>
      <c r="D475" t="n">
        <v>12</v>
      </c>
      <c r="E475" t="n">
        <v>239</v>
      </c>
      <c r="F475" t="inlineStr">
        <is>
          <t>East</t>
        </is>
      </c>
    </row>
    <row r="476">
      <c r="A476" t="inlineStr">
        <is>
          <t>T0475</t>
        </is>
      </c>
      <c r="B476" t="inlineStr">
        <is>
          <t>2024-02-14</t>
        </is>
      </c>
      <c r="C476" t="inlineStr">
        <is>
          <t>P018</t>
        </is>
      </c>
      <c r="D476" t="n">
        <v>8</v>
      </c>
      <c r="E476" t="n">
        <v>209</v>
      </c>
      <c r="F476" t="inlineStr">
        <is>
          <t>West</t>
        </is>
      </c>
    </row>
    <row r="477">
      <c r="A477" t="inlineStr">
        <is>
          <t>T0476</t>
        </is>
      </c>
      <c r="B477" t="inlineStr">
        <is>
          <t>2024-05-01</t>
        </is>
      </c>
      <c r="C477" t="inlineStr">
        <is>
          <t>P014</t>
        </is>
      </c>
      <c r="D477" t="n">
        <v>11</v>
      </c>
      <c r="E477" t="n">
        <v>123</v>
      </c>
      <c r="F477" t="inlineStr">
        <is>
          <t>North</t>
        </is>
      </c>
    </row>
    <row r="478">
      <c r="A478" t="inlineStr">
        <is>
          <t>T0477</t>
        </is>
      </c>
      <c r="B478" t="inlineStr">
        <is>
          <t>2024-12-29</t>
        </is>
      </c>
      <c r="C478" t="inlineStr">
        <is>
          <t>P004</t>
        </is>
      </c>
      <c r="D478" t="n">
        <v>20</v>
      </c>
      <c r="E478" t="n">
        <v>199</v>
      </c>
      <c r="F478" t="inlineStr">
        <is>
          <t>East</t>
        </is>
      </c>
    </row>
    <row r="479">
      <c r="A479" t="inlineStr">
        <is>
          <t>T0478</t>
        </is>
      </c>
      <c r="B479" t="inlineStr">
        <is>
          <t>2024-03-15</t>
        </is>
      </c>
      <c r="C479" t="inlineStr">
        <is>
          <t>P021</t>
        </is>
      </c>
      <c r="D479" t="n">
        <v>15</v>
      </c>
      <c r="E479" t="n">
        <v>50</v>
      </c>
      <c r="F479" t="inlineStr">
        <is>
          <t>North</t>
        </is>
      </c>
    </row>
    <row r="480">
      <c r="A480" t="inlineStr">
        <is>
          <t>T0479</t>
        </is>
      </c>
      <c r="B480" t="inlineStr">
        <is>
          <t>2024-10-11</t>
        </is>
      </c>
      <c r="C480" t="inlineStr">
        <is>
          <t>P039</t>
        </is>
      </c>
      <c r="D480" t="n">
        <v>5</v>
      </c>
      <c r="E480" t="n">
        <v>470</v>
      </c>
      <c r="F480" t="inlineStr">
        <is>
          <t>West</t>
        </is>
      </c>
    </row>
    <row r="481">
      <c r="A481" t="inlineStr">
        <is>
          <t>T0480</t>
        </is>
      </c>
      <c r="B481" t="inlineStr">
        <is>
          <t>2024-06-13</t>
        </is>
      </c>
      <c r="C481" t="inlineStr">
        <is>
          <t>P037</t>
        </is>
      </c>
      <c r="D481" t="n">
        <v>9</v>
      </c>
      <c r="E481" t="n">
        <v>206</v>
      </c>
      <c r="F481" t="inlineStr">
        <is>
          <t>North</t>
        </is>
      </c>
    </row>
    <row r="482">
      <c r="A482" t="inlineStr">
        <is>
          <t>T0481</t>
        </is>
      </c>
      <c r="B482" t="inlineStr">
        <is>
          <t>2024-08-10</t>
        </is>
      </c>
      <c r="C482" t="inlineStr">
        <is>
          <t>P025</t>
        </is>
      </c>
      <c r="D482" t="n">
        <v>18</v>
      </c>
      <c r="E482" t="n">
        <v>236</v>
      </c>
      <c r="F482" t="inlineStr">
        <is>
          <t>North</t>
        </is>
      </c>
    </row>
    <row r="483">
      <c r="A483" t="inlineStr">
        <is>
          <t>T0482</t>
        </is>
      </c>
      <c r="B483" t="inlineStr">
        <is>
          <t>2024-04-16</t>
        </is>
      </c>
      <c r="C483" t="inlineStr">
        <is>
          <t>P040</t>
        </is>
      </c>
      <c r="D483" t="n">
        <v>4</v>
      </c>
      <c r="E483" t="n">
        <v>421</v>
      </c>
      <c r="F483" t="inlineStr">
        <is>
          <t>South</t>
        </is>
      </c>
    </row>
    <row r="484">
      <c r="A484" t="inlineStr">
        <is>
          <t>T0483</t>
        </is>
      </c>
      <c r="B484" t="inlineStr">
        <is>
          <t>2024-02-21</t>
        </is>
      </c>
      <c r="C484" t="inlineStr">
        <is>
          <t>P034</t>
        </is>
      </c>
      <c r="D484" t="n">
        <v>1</v>
      </c>
      <c r="E484" t="n">
        <v>87</v>
      </c>
      <c r="F484" t="inlineStr">
        <is>
          <t>North</t>
        </is>
      </c>
    </row>
    <row r="485">
      <c r="A485" t="inlineStr">
        <is>
          <t>T0484</t>
        </is>
      </c>
      <c r="B485" t="inlineStr">
        <is>
          <t>2024-05-18</t>
        </is>
      </c>
      <c r="C485" t="inlineStr">
        <is>
          <t>P035</t>
        </is>
      </c>
      <c r="D485" t="n">
        <v>20</v>
      </c>
      <c r="E485" t="n">
        <v>299</v>
      </c>
      <c r="F485" t="inlineStr">
        <is>
          <t>North</t>
        </is>
      </c>
    </row>
    <row r="486">
      <c r="A486" t="inlineStr">
        <is>
          <t>T0485</t>
        </is>
      </c>
      <c r="B486" t="inlineStr">
        <is>
          <t>2024-05-21</t>
        </is>
      </c>
      <c r="C486" t="inlineStr">
        <is>
          <t>P006</t>
        </is>
      </c>
      <c r="D486" t="n">
        <v>17</v>
      </c>
      <c r="E486" t="n">
        <v>186</v>
      </c>
      <c r="F486" t="inlineStr">
        <is>
          <t>South</t>
        </is>
      </c>
    </row>
    <row r="487">
      <c r="A487" t="inlineStr">
        <is>
          <t>T0486</t>
        </is>
      </c>
      <c r="B487" t="inlineStr">
        <is>
          <t>2024-09-12</t>
        </is>
      </c>
      <c r="C487" t="inlineStr">
        <is>
          <t>P006</t>
        </is>
      </c>
      <c r="D487" t="n">
        <v>18</v>
      </c>
      <c r="E487" t="n">
        <v>439</v>
      </c>
      <c r="F487" t="inlineStr">
        <is>
          <t>South</t>
        </is>
      </c>
    </row>
    <row r="488">
      <c r="A488" t="inlineStr">
        <is>
          <t>T0487</t>
        </is>
      </c>
      <c r="B488" t="inlineStr">
        <is>
          <t>2024-07-12</t>
        </is>
      </c>
      <c r="C488" t="inlineStr">
        <is>
          <t>P039</t>
        </is>
      </c>
      <c r="D488" t="n">
        <v>12</v>
      </c>
      <c r="E488" t="n">
        <v>287</v>
      </c>
      <c r="F488" t="inlineStr">
        <is>
          <t>North</t>
        </is>
      </c>
    </row>
    <row r="489">
      <c r="A489" t="inlineStr">
        <is>
          <t>T0488</t>
        </is>
      </c>
      <c r="B489" t="inlineStr">
        <is>
          <t>2024-01-01</t>
        </is>
      </c>
      <c r="C489" t="inlineStr">
        <is>
          <t>P023</t>
        </is>
      </c>
      <c r="D489" t="n">
        <v>11</v>
      </c>
      <c r="E489" t="n">
        <v>320</v>
      </c>
      <c r="F489" t="inlineStr">
        <is>
          <t>East</t>
        </is>
      </c>
    </row>
    <row r="490">
      <c r="A490" t="inlineStr">
        <is>
          <t>T0489</t>
        </is>
      </c>
      <c r="B490" t="inlineStr">
        <is>
          <t>2024-11-19</t>
        </is>
      </c>
      <c r="C490" t="inlineStr">
        <is>
          <t>P047</t>
        </is>
      </c>
      <c r="D490" t="n">
        <v>10</v>
      </c>
      <c r="E490" t="n">
        <v>375</v>
      </c>
      <c r="F490" t="inlineStr">
        <is>
          <t>South</t>
        </is>
      </c>
    </row>
    <row r="491">
      <c r="A491" t="inlineStr">
        <is>
          <t>T0490</t>
        </is>
      </c>
      <c r="B491" t="inlineStr">
        <is>
          <t>2024-06-24</t>
        </is>
      </c>
      <c r="C491" t="inlineStr">
        <is>
          <t>P024</t>
        </is>
      </c>
      <c r="D491" t="n">
        <v>16</v>
      </c>
      <c r="E491" t="n">
        <v>375</v>
      </c>
      <c r="F491" t="inlineStr">
        <is>
          <t>South</t>
        </is>
      </c>
    </row>
    <row r="492">
      <c r="A492" t="inlineStr">
        <is>
          <t>T0491</t>
        </is>
      </c>
      <c r="B492" t="inlineStr">
        <is>
          <t>2024-08-19</t>
        </is>
      </c>
      <c r="C492" t="inlineStr">
        <is>
          <t>P047</t>
        </is>
      </c>
      <c r="D492" t="n">
        <v>19</v>
      </c>
      <c r="E492" t="n">
        <v>402</v>
      </c>
      <c r="F492" t="inlineStr">
        <is>
          <t>West</t>
        </is>
      </c>
    </row>
    <row r="493">
      <c r="A493" t="inlineStr">
        <is>
          <t>T0492</t>
        </is>
      </c>
      <c r="B493" t="inlineStr">
        <is>
          <t>2024-04-14</t>
        </is>
      </c>
      <c r="C493" t="inlineStr">
        <is>
          <t>P011</t>
        </is>
      </c>
      <c r="D493" t="n">
        <v>18</v>
      </c>
      <c r="E493" t="n">
        <v>381</v>
      </c>
      <c r="F493" t="inlineStr">
        <is>
          <t>West</t>
        </is>
      </c>
    </row>
    <row r="494">
      <c r="A494" t="inlineStr">
        <is>
          <t>T0493</t>
        </is>
      </c>
      <c r="B494" t="inlineStr">
        <is>
          <t>2024-11-05</t>
        </is>
      </c>
      <c r="C494" t="inlineStr">
        <is>
          <t>P046</t>
        </is>
      </c>
      <c r="D494" t="n">
        <v>20</v>
      </c>
      <c r="E494" t="n">
        <v>84</v>
      </c>
      <c r="F494" t="inlineStr">
        <is>
          <t>South</t>
        </is>
      </c>
    </row>
    <row r="495">
      <c r="A495" t="inlineStr">
        <is>
          <t>T0494</t>
        </is>
      </c>
      <c r="B495" t="inlineStr">
        <is>
          <t>2024-10-23</t>
        </is>
      </c>
      <c r="C495" t="inlineStr">
        <is>
          <t>P013</t>
        </is>
      </c>
      <c r="D495" t="n">
        <v>11</v>
      </c>
      <c r="E495" t="n">
        <v>64</v>
      </c>
      <c r="F495" t="inlineStr">
        <is>
          <t>East</t>
        </is>
      </c>
    </row>
    <row r="496">
      <c r="A496" t="inlineStr">
        <is>
          <t>T0495</t>
        </is>
      </c>
      <c r="B496" t="inlineStr">
        <is>
          <t>2024-02-13</t>
        </is>
      </c>
      <c r="C496" t="inlineStr">
        <is>
          <t>P044</t>
        </is>
      </c>
      <c r="D496" t="n">
        <v>16</v>
      </c>
      <c r="E496" t="n">
        <v>431</v>
      </c>
      <c r="F496" t="inlineStr">
        <is>
          <t>East</t>
        </is>
      </c>
    </row>
    <row r="497">
      <c r="A497" t="inlineStr">
        <is>
          <t>T0496</t>
        </is>
      </c>
      <c r="B497" t="inlineStr">
        <is>
          <t>2024-08-16</t>
        </is>
      </c>
      <c r="C497" t="inlineStr">
        <is>
          <t>P034</t>
        </is>
      </c>
      <c r="D497" t="n">
        <v>15</v>
      </c>
      <c r="E497" t="n">
        <v>237</v>
      </c>
      <c r="F497" t="inlineStr">
        <is>
          <t>East</t>
        </is>
      </c>
    </row>
    <row r="498">
      <c r="A498" t="inlineStr">
        <is>
          <t>T0497</t>
        </is>
      </c>
      <c r="B498" t="inlineStr">
        <is>
          <t>2024-05-13</t>
        </is>
      </c>
      <c r="C498" t="inlineStr">
        <is>
          <t>P013</t>
        </is>
      </c>
      <c r="D498" t="n">
        <v>1</v>
      </c>
      <c r="E498" t="n">
        <v>133</v>
      </c>
      <c r="F498" t="inlineStr">
        <is>
          <t>South</t>
        </is>
      </c>
    </row>
    <row r="499">
      <c r="A499" t="inlineStr">
        <is>
          <t>T0498</t>
        </is>
      </c>
      <c r="B499" t="inlineStr">
        <is>
          <t>2024-10-17</t>
        </is>
      </c>
      <c r="C499" t="inlineStr">
        <is>
          <t>P038</t>
        </is>
      </c>
      <c r="D499" t="n">
        <v>14</v>
      </c>
      <c r="E499" t="n">
        <v>347</v>
      </c>
      <c r="F499" t="inlineStr">
        <is>
          <t>South</t>
        </is>
      </c>
    </row>
    <row r="500">
      <c r="A500" t="inlineStr">
        <is>
          <t>T0499</t>
        </is>
      </c>
      <c r="B500" t="inlineStr">
        <is>
          <t>2024-03-22</t>
        </is>
      </c>
      <c r="C500" t="inlineStr">
        <is>
          <t>P023</t>
        </is>
      </c>
      <c r="D500" t="n">
        <v>10</v>
      </c>
      <c r="E500" t="n">
        <v>343</v>
      </c>
      <c r="F500" t="inlineStr">
        <is>
          <t>West</t>
        </is>
      </c>
    </row>
    <row r="501">
      <c r="A501" t="inlineStr">
        <is>
          <t>T0500</t>
        </is>
      </c>
      <c r="B501" t="inlineStr">
        <is>
          <t>2024-05-30</t>
        </is>
      </c>
      <c r="C501" t="inlineStr">
        <is>
          <t>P039</t>
        </is>
      </c>
      <c r="D501" t="n">
        <v>17</v>
      </c>
      <c r="E501" t="n">
        <v>327</v>
      </c>
      <c r="F501" t="inlineStr">
        <is>
          <t>East</t>
        </is>
      </c>
    </row>
    <row r="502">
      <c r="A502" t="inlineStr">
        <is>
          <t>T0501</t>
        </is>
      </c>
      <c r="B502" t="inlineStr">
        <is>
          <t>2024-10-03</t>
        </is>
      </c>
      <c r="C502" t="inlineStr">
        <is>
          <t>P013</t>
        </is>
      </c>
      <c r="D502" t="n">
        <v>13</v>
      </c>
      <c r="E502" t="n">
        <v>442</v>
      </c>
      <c r="F502" t="inlineStr">
        <is>
          <t>North</t>
        </is>
      </c>
    </row>
    <row r="503">
      <c r="A503" t="inlineStr">
        <is>
          <t>T0502</t>
        </is>
      </c>
      <c r="B503" t="inlineStr">
        <is>
          <t>2024-12-03</t>
        </is>
      </c>
      <c r="C503" t="inlineStr">
        <is>
          <t>P005</t>
        </is>
      </c>
      <c r="D503" t="n">
        <v>5</v>
      </c>
      <c r="E503" t="n">
        <v>410</v>
      </c>
      <c r="F503" t="inlineStr">
        <is>
          <t>South</t>
        </is>
      </c>
    </row>
    <row r="504">
      <c r="A504" t="inlineStr">
        <is>
          <t>T0503</t>
        </is>
      </c>
      <c r="B504" t="inlineStr">
        <is>
          <t>2024-03-04</t>
        </is>
      </c>
      <c r="C504" t="inlineStr">
        <is>
          <t>P010</t>
        </is>
      </c>
      <c r="D504" t="n">
        <v>18</v>
      </c>
      <c r="E504" t="n">
        <v>123</v>
      </c>
      <c r="F504" t="inlineStr">
        <is>
          <t>West</t>
        </is>
      </c>
    </row>
    <row r="505">
      <c r="A505" t="inlineStr">
        <is>
          <t>T0504</t>
        </is>
      </c>
      <c r="B505" t="inlineStr">
        <is>
          <t>2024-11-03</t>
        </is>
      </c>
      <c r="C505" t="inlineStr">
        <is>
          <t>P022</t>
        </is>
      </c>
      <c r="D505" t="n">
        <v>18</v>
      </c>
      <c r="E505" t="n">
        <v>325</v>
      </c>
      <c r="F505" t="inlineStr">
        <is>
          <t>North</t>
        </is>
      </c>
    </row>
    <row r="506">
      <c r="A506" t="inlineStr">
        <is>
          <t>T0505</t>
        </is>
      </c>
      <c r="B506" t="inlineStr">
        <is>
          <t>2024-12-12</t>
        </is>
      </c>
      <c r="C506" t="inlineStr">
        <is>
          <t>P003</t>
        </is>
      </c>
      <c r="D506" t="n">
        <v>14</v>
      </c>
      <c r="E506" t="n">
        <v>328</v>
      </c>
      <c r="F506" t="inlineStr">
        <is>
          <t>South</t>
        </is>
      </c>
    </row>
    <row r="507">
      <c r="A507" t="inlineStr">
        <is>
          <t>T0506</t>
        </is>
      </c>
      <c r="B507" t="inlineStr">
        <is>
          <t>2024-10-24</t>
        </is>
      </c>
      <c r="C507" t="inlineStr">
        <is>
          <t>P046</t>
        </is>
      </c>
      <c r="D507" t="n">
        <v>15</v>
      </c>
      <c r="E507" t="n">
        <v>484</v>
      </c>
      <c r="F507" t="inlineStr">
        <is>
          <t>South</t>
        </is>
      </c>
    </row>
    <row r="508">
      <c r="A508" t="inlineStr">
        <is>
          <t>T0507</t>
        </is>
      </c>
      <c r="B508" t="inlineStr">
        <is>
          <t>2024-11-24</t>
        </is>
      </c>
      <c r="C508" t="inlineStr">
        <is>
          <t>P011</t>
        </is>
      </c>
      <c r="D508" t="n">
        <v>4</v>
      </c>
      <c r="E508" t="n">
        <v>202</v>
      </c>
      <c r="F508" t="inlineStr">
        <is>
          <t>West</t>
        </is>
      </c>
    </row>
    <row r="509">
      <c r="A509" t="inlineStr">
        <is>
          <t>T0508</t>
        </is>
      </c>
      <c r="B509" t="inlineStr">
        <is>
          <t>2024-03-31</t>
        </is>
      </c>
      <c r="C509" t="inlineStr">
        <is>
          <t>P027</t>
        </is>
      </c>
      <c r="D509" t="n">
        <v>10</v>
      </c>
      <c r="E509" t="n">
        <v>149</v>
      </c>
      <c r="F509" t="inlineStr">
        <is>
          <t>West</t>
        </is>
      </c>
    </row>
    <row r="510">
      <c r="A510" t="inlineStr">
        <is>
          <t>T0509</t>
        </is>
      </c>
      <c r="B510" t="inlineStr">
        <is>
          <t>2024-06-06</t>
        </is>
      </c>
      <c r="C510" t="inlineStr">
        <is>
          <t>P031</t>
        </is>
      </c>
      <c r="D510" t="n">
        <v>9</v>
      </c>
      <c r="E510" t="n">
        <v>174</v>
      </c>
      <c r="F510" t="inlineStr">
        <is>
          <t>East</t>
        </is>
      </c>
    </row>
    <row r="511">
      <c r="A511" t="inlineStr">
        <is>
          <t>T0510</t>
        </is>
      </c>
      <c r="B511" t="inlineStr">
        <is>
          <t>2024-04-27</t>
        </is>
      </c>
      <c r="C511" t="inlineStr">
        <is>
          <t>P036</t>
        </is>
      </c>
      <c r="D511" t="n">
        <v>9</v>
      </c>
      <c r="E511" t="n">
        <v>437</v>
      </c>
      <c r="F511" t="inlineStr">
        <is>
          <t>North</t>
        </is>
      </c>
    </row>
    <row r="512">
      <c r="A512" t="inlineStr">
        <is>
          <t>T0511</t>
        </is>
      </c>
      <c r="B512" t="inlineStr">
        <is>
          <t>2024-10-09</t>
        </is>
      </c>
      <c r="C512" t="inlineStr">
        <is>
          <t>P019</t>
        </is>
      </c>
      <c r="D512" t="n">
        <v>2</v>
      </c>
      <c r="E512" t="n">
        <v>490</v>
      </c>
      <c r="F512" t="inlineStr">
        <is>
          <t>West</t>
        </is>
      </c>
    </row>
    <row r="513">
      <c r="A513" t="inlineStr">
        <is>
          <t>T0512</t>
        </is>
      </c>
      <c r="B513" t="inlineStr">
        <is>
          <t>2024-11-19</t>
        </is>
      </c>
      <c r="C513" t="inlineStr">
        <is>
          <t>P011</t>
        </is>
      </c>
      <c r="D513" t="n">
        <v>13</v>
      </c>
      <c r="E513" t="n">
        <v>214</v>
      </c>
      <c r="F513" t="inlineStr">
        <is>
          <t>West</t>
        </is>
      </c>
    </row>
    <row r="514">
      <c r="A514" t="inlineStr">
        <is>
          <t>T0513</t>
        </is>
      </c>
      <c r="B514" t="inlineStr">
        <is>
          <t>2024-08-26</t>
        </is>
      </c>
      <c r="C514" t="inlineStr">
        <is>
          <t>P049</t>
        </is>
      </c>
      <c r="D514" t="n">
        <v>15</v>
      </c>
      <c r="E514" t="n">
        <v>324</v>
      </c>
      <c r="F514" t="inlineStr">
        <is>
          <t>West</t>
        </is>
      </c>
    </row>
    <row r="515">
      <c r="A515" t="inlineStr">
        <is>
          <t>T0514</t>
        </is>
      </c>
      <c r="B515" t="inlineStr">
        <is>
          <t>2024-06-08</t>
        </is>
      </c>
      <c r="C515" t="inlineStr">
        <is>
          <t>P044</t>
        </is>
      </c>
      <c r="D515" t="n">
        <v>15</v>
      </c>
      <c r="E515" t="n">
        <v>64</v>
      </c>
      <c r="F515" t="inlineStr">
        <is>
          <t>North</t>
        </is>
      </c>
    </row>
    <row r="516">
      <c r="A516" t="inlineStr">
        <is>
          <t>T0515</t>
        </is>
      </c>
      <c r="B516" t="inlineStr">
        <is>
          <t>2024-05-03</t>
        </is>
      </c>
      <c r="C516" t="inlineStr">
        <is>
          <t>P028</t>
        </is>
      </c>
      <c r="D516" t="n">
        <v>13</v>
      </c>
      <c r="E516" t="n">
        <v>301</v>
      </c>
      <c r="F516" t="inlineStr">
        <is>
          <t>East</t>
        </is>
      </c>
    </row>
    <row r="517">
      <c r="A517" t="inlineStr">
        <is>
          <t>T0516</t>
        </is>
      </c>
      <c r="B517" t="inlineStr">
        <is>
          <t>2024-03-23</t>
        </is>
      </c>
      <c r="C517" t="inlineStr">
        <is>
          <t>P042</t>
        </is>
      </c>
      <c r="D517" t="n">
        <v>5</v>
      </c>
      <c r="E517" t="n">
        <v>161</v>
      </c>
      <c r="F517" t="inlineStr">
        <is>
          <t>West</t>
        </is>
      </c>
    </row>
    <row r="518">
      <c r="A518" t="inlineStr">
        <is>
          <t>T0517</t>
        </is>
      </c>
      <c r="B518" t="inlineStr">
        <is>
          <t>2024-01-15</t>
        </is>
      </c>
      <c r="C518" t="inlineStr">
        <is>
          <t>P004</t>
        </is>
      </c>
      <c r="D518" t="n">
        <v>18</v>
      </c>
      <c r="E518" t="n">
        <v>249</v>
      </c>
      <c r="F518" t="inlineStr">
        <is>
          <t>South</t>
        </is>
      </c>
    </row>
    <row r="519">
      <c r="A519" t="inlineStr">
        <is>
          <t>T0518</t>
        </is>
      </c>
      <c r="B519" t="inlineStr">
        <is>
          <t>2024-12-04</t>
        </is>
      </c>
      <c r="C519" t="inlineStr">
        <is>
          <t>P007</t>
        </is>
      </c>
      <c r="D519" t="n">
        <v>3</v>
      </c>
      <c r="E519" t="n">
        <v>395</v>
      </c>
      <c r="F519" t="inlineStr">
        <is>
          <t>East</t>
        </is>
      </c>
    </row>
    <row r="520">
      <c r="A520" t="inlineStr">
        <is>
          <t>T0519</t>
        </is>
      </c>
      <c r="B520" t="inlineStr">
        <is>
          <t>2024-03-18</t>
        </is>
      </c>
      <c r="C520" t="inlineStr">
        <is>
          <t>P040</t>
        </is>
      </c>
      <c r="D520" t="n">
        <v>10</v>
      </c>
      <c r="E520" t="n">
        <v>155</v>
      </c>
      <c r="F520" t="inlineStr">
        <is>
          <t>East</t>
        </is>
      </c>
    </row>
    <row r="521">
      <c r="A521" t="inlineStr">
        <is>
          <t>T0520</t>
        </is>
      </c>
      <c r="B521" t="inlineStr">
        <is>
          <t>2024-11-03</t>
        </is>
      </c>
      <c r="C521" t="inlineStr">
        <is>
          <t>P018</t>
        </is>
      </c>
      <c r="D521" t="n">
        <v>9</v>
      </c>
      <c r="E521" t="n">
        <v>313</v>
      </c>
      <c r="F521" t="inlineStr">
        <is>
          <t>South</t>
        </is>
      </c>
    </row>
    <row r="522">
      <c r="A522" t="inlineStr">
        <is>
          <t>T0521</t>
        </is>
      </c>
      <c r="B522" t="inlineStr">
        <is>
          <t>2024-08-20</t>
        </is>
      </c>
      <c r="C522" t="inlineStr">
        <is>
          <t>P042</t>
        </is>
      </c>
      <c r="D522" t="n">
        <v>17</v>
      </c>
      <c r="E522" t="n">
        <v>221</v>
      </c>
      <c r="F522" t="inlineStr">
        <is>
          <t>West</t>
        </is>
      </c>
    </row>
    <row r="523">
      <c r="A523" t="inlineStr">
        <is>
          <t>T0522</t>
        </is>
      </c>
      <c r="B523" t="inlineStr">
        <is>
          <t>2024-10-07</t>
        </is>
      </c>
      <c r="C523" t="inlineStr">
        <is>
          <t>P040</t>
        </is>
      </c>
      <c r="D523" t="n">
        <v>9</v>
      </c>
      <c r="E523" t="n">
        <v>163</v>
      </c>
      <c r="F523" t="inlineStr">
        <is>
          <t>East</t>
        </is>
      </c>
    </row>
    <row r="524">
      <c r="A524" t="inlineStr">
        <is>
          <t>T0523</t>
        </is>
      </c>
      <c r="B524" t="inlineStr">
        <is>
          <t>2024-01-01</t>
        </is>
      </c>
      <c r="C524" t="inlineStr">
        <is>
          <t>P032</t>
        </is>
      </c>
      <c r="D524" t="n">
        <v>16</v>
      </c>
      <c r="E524" t="n">
        <v>188</v>
      </c>
      <c r="F524" t="inlineStr">
        <is>
          <t>North</t>
        </is>
      </c>
    </row>
    <row r="525">
      <c r="A525" t="inlineStr">
        <is>
          <t>T0524</t>
        </is>
      </c>
      <c r="B525" t="inlineStr">
        <is>
          <t>2024-06-10</t>
        </is>
      </c>
      <c r="C525" t="inlineStr">
        <is>
          <t>P038</t>
        </is>
      </c>
      <c r="D525" t="n">
        <v>10</v>
      </c>
      <c r="E525" t="n">
        <v>148</v>
      </c>
      <c r="F525" t="inlineStr">
        <is>
          <t>South</t>
        </is>
      </c>
    </row>
    <row r="526">
      <c r="A526" t="inlineStr">
        <is>
          <t>T0525</t>
        </is>
      </c>
      <c r="B526" t="inlineStr">
        <is>
          <t>2024-04-03</t>
        </is>
      </c>
      <c r="C526" t="inlineStr">
        <is>
          <t>P016</t>
        </is>
      </c>
      <c r="D526" t="n">
        <v>14</v>
      </c>
      <c r="E526" t="n">
        <v>68</v>
      </c>
      <c r="F526" t="inlineStr">
        <is>
          <t>East</t>
        </is>
      </c>
    </row>
    <row r="527">
      <c r="A527" t="inlineStr">
        <is>
          <t>T0526</t>
        </is>
      </c>
      <c r="B527" t="inlineStr">
        <is>
          <t>2024-03-05</t>
        </is>
      </c>
      <c r="C527" t="inlineStr">
        <is>
          <t>P044</t>
        </is>
      </c>
      <c r="D527" t="n">
        <v>20</v>
      </c>
      <c r="E527" t="n">
        <v>333</v>
      </c>
      <c r="F527" t="inlineStr">
        <is>
          <t>South</t>
        </is>
      </c>
    </row>
    <row r="528">
      <c r="A528" t="inlineStr">
        <is>
          <t>T0527</t>
        </is>
      </c>
      <c r="B528" t="inlineStr">
        <is>
          <t>2024-07-02</t>
        </is>
      </c>
      <c r="C528" t="inlineStr">
        <is>
          <t>P033</t>
        </is>
      </c>
      <c r="D528" t="n">
        <v>8</v>
      </c>
      <c r="E528" t="n">
        <v>479</v>
      </c>
      <c r="F528" t="inlineStr">
        <is>
          <t>East</t>
        </is>
      </c>
    </row>
    <row r="529">
      <c r="A529" t="inlineStr">
        <is>
          <t>T0528</t>
        </is>
      </c>
      <c r="B529" t="inlineStr">
        <is>
          <t>2024-09-10</t>
        </is>
      </c>
      <c r="C529" t="inlineStr">
        <is>
          <t>P014</t>
        </is>
      </c>
      <c r="D529" t="n">
        <v>2</v>
      </c>
      <c r="E529" t="n">
        <v>257</v>
      </c>
      <c r="F529" t="inlineStr">
        <is>
          <t>West</t>
        </is>
      </c>
    </row>
    <row r="530">
      <c r="A530" t="inlineStr">
        <is>
          <t>T0529</t>
        </is>
      </c>
      <c r="B530" t="inlineStr">
        <is>
          <t>2024-10-19</t>
        </is>
      </c>
      <c r="C530" t="inlineStr">
        <is>
          <t>P042</t>
        </is>
      </c>
      <c r="D530" t="n">
        <v>5</v>
      </c>
      <c r="E530" t="n">
        <v>255</v>
      </c>
      <c r="F530" t="inlineStr">
        <is>
          <t>North</t>
        </is>
      </c>
    </row>
    <row r="531">
      <c r="A531" t="inlineStr">
        <is>
          <t>T0530</t>
        </is>
      </c>
      <c r="B531" t="inlineStr">
        <is>
          <t>2024-08-18</t>
        </is>
      </c>
      <c r="C531" t="inlineStr">
        <is>
          <t>P022</t>
        </is>
      </c>
      <c r="D531" t="n">
        <v>18</v>
      </c>
      <c r="E531" t="n">
        <v>250</v>
      </c>
      <c r="F531" t="inlineStr">
        <is>
          <t>West</t>
        </is>
      </c>
    </row>
    <row r="532">
      <c r="A532" t="inlineStr">
        <is>
          <t>T0531</t>
        </is>
      </c>
      <c r="B532" t="inlineStr">
        <is>
          <t>2024-06-10</t>
        </is>
      </c>
      <c r="C532" t="inlineStr">
        <is>
          <t>P027</t>
        </is>
      </c>
      <c r="D532" t="n">
        <v>15</v>
      </c>
      <c r="E532" t="n">
        <v>337</v>
      </c>
      <c r="F532" t="inlineStr">
        <is>
          <t>South</t>
        </is>
      </c>
    </row>
    <row r="533">
      <c r="A533" t="inlineStr">
        <is>
          <t>T0532</t>
        </is>
      </c>
      <c r="B533" t="inlineStr">
        <is>
          <t>2024-06-22</t>
        </is>
      </c>
      <c r="C533" t="inlineStr">
        <is>
          <t>P025</t>
        </is>
      </c>
      <c r="D533" t="n">
        <v>13</v>
      </c>
      <c r="E533" t="n">
        <v>208</v>
      </c>
      <c r="F533" t="inlineStr">
        <is>
          <t>North</t>
        </is>
      </c>
    </row>
    <row r="534">
      <c r="A534" t="inlineStr">
        <is>
          <t>T0533</t>
        </is>
      </c>
      <c r="B534" t="inlineStr">
        <is>
          <t>2024-12-14</t>
        </is>
      </c>
      <c r="C534" t="inlineStr">
        <is>
          <t>P038</t>
        </is>
      </c>
      <c r="D534" t="n">
        <v>6</v>
      </c>
      <c r="E534" t="n">
        <v>421</v>
      </c>
      <c r="F534" t="inlineStr">
        <is>
          <t>South</t>
        </is>
      </c>
    </row>
    <row r="535">
      <c r="A535" t="inlineStr">
        <is>
          <t>T0534</t>
        </is>
      </c>
      <c r="B535" t="inlineStr">
        <is>
          <t>2024-03-25</t>
        </is>
      </c>
      <c r="C535" t="inlineStr">
        <is>
          <t>P010</t>
        </is>
      </c>
      <c r="D535" t="n">
        <v>6</v>
      </c>
      <c r="E535" t="n">
        <v>288</v>
      </c>
      <c r="F535" t="inlineStr">
        <is>
          <t>West</t>
        </is>
      </c>
    </row>
    <row r="536">
      <c r="A536" t="inlineStr">
        <is>
          <t>T0535</t>
        </is>
      </c>
      <c r="B536" t="inlineStr">
        <is>
          <t>2024-08-10</t>
        </is>
      </c>
      <c r="C536" t="inlineStr">
        <is>
          <t>P034</t>
        </is>
      </c>
      <c r="D536" t="n">
        <v>4</v>
      </c>
      <c r="E536" t="n">
        <v>101</v>
      </c>
      <c r="F536" t="inlineStr">
        <is>
          <t>South</t>
        </is>
      </c>
    </row>
    <row r="537">
      <c r="A537" t="inlineStr">
        <is>
          <t>T0536</t>
        </is>
      </c>
      <c r="B537" t="inlineStr">
        <is>
          <t>2024-10-11</t>
        </is>
      </c>
      <c r="C537" t="inlineStr">
        <is>
          <t>P036</t>
        </is>
      </c>
      <c r="D537" t="n">
        <v>6</v>
      </c>
      <c r="E537" t="n">
        <v>311</v>
      </c>
      <c r="F537" t="inlineStr">
        <is>
          <t>West</t>
        </is>
      </c>
    </row>
    <row r="538">
      <c r="A538" t="inlineStr">
        <is>
          <t>T0537</t>
        </is>
      </c>
      <c r="B538" t="inlineStr">
        <is>
          <t>2024-04-24</t>
        </is>
      </c>
      <c r="C538" t="inlineStr">
        <is>
          <t>P018</t>
        </is>
      </c>
      <c r="D538" t="n">
        <v>11</v>
      </c>
      <c r="E538" t="n">
        <v>300</v>
      </c>
      <c r="F538" t="inlineStr">
        <is>
          <t>East</t>
        </is>
      </c>
    </row>
    <row r="539">
      <c r="A539" t="inlineStr">
        <is>
          <t>T0538</t>
        </is>
      </c>
      <c r="B539" t="inlineStr">
        <is>
          <t>2024-10-24</t>
        </is>
      </c>
      <c r="C539" t="inlineStr">
        <is>
          <t>P040</t>
        </is>
      </c>
      <c r="D539" t="n">
        <v>19</v>
      </c>
      <c r="E539" t="n">
        <v>319</v>
      </c>
      <c r="F539" t="inlineStr">
        <is>
          <t>South</t>
        </is>
      </c>
    </row>
    <row r="540">
      <c r="A540" t="inlineStr">
        <is>
          <t>T0539</t>
        </is>
      </c>
      <c r="B540" t="inlineStr">
        <is>
          <t>2024-08-03</t>
        </is>
      </c>
      <c r="C540" t="inlineStr">
        <is>
          <t>P006</t>
        </is>
      </c>
      <c r="D540" t="n">
        <v>14</v>
      </c>
      <c r="E540" t="n">
        <v>236</v>
      </c>
      <c r="F540" t="inlineStr">
        <is>
          <t>South</t>
        </is>
      </c>
    </row>
    <row r="541">
      <c r="A541" t="inlineStr">
        <is>
          <t>T0540</t>
        </is>
      </c>
      <c r="B541" t="inlineStr">
        <is>
          <t>2024-05-20</t>
        </is>
      </c>
      <c r="C541" t="inlineStr">
        <is>
          <t>P029</t>
        </is>
      </c>
      <c r="D541" t="n">
        <v>4</v>
      </c>
      <c r="E541" t="n">
        <v>338</v>
      </c>
      <c r="F541" t="inlineStr">
        <is>
          <t>East</t>
        </is>
      </c>
    </row>
    <row r="542">
      <c r="A542" t="inlineStr">
        <is>
          <t>T0541</t>
        </is>
      </c>
      <c r="B542" t="inlineStr">
        <is>
          <t>2024-03-21</t>
        </is>
      </c>
      <c r="C542" t="inlineStr">
        <is>
          <t>P042</t>
        </is>
      </c>
      <c r="D542" t="n">
        <v>8</v>
      </c>
      <c r="E542" t="n">
        <v>216</v>
      </c>
      <c r="F542" t="inlineStr">
        <is>
          <t>East</t>
        </is>
      </c>
    </row>
    <row r="543">
      <c r="A543" t="inlineStr">
        <is>
          <t>T0542</t>
        </is>
      </c>
      <c r="B543" t="inlineStr">
        <is>
          <t>2024-09-16</t>
        </is>
      </c>
      <c r="C543" t="inlineStr">
        <is>
          <t>P031</t>
        </is>
      </c>
      <c r="D543" t="n">
        <v>9</v>
      </c>
      <c r="E543" t="n">
        <v>197</v>
      </c>
      <c r="F543" t="inlineStr">
        <is>
          <t>East</t>
        </is>
      </c>
    </row>
    <row r="544">
      <c r="A544" t="inlineStr">
        <is>
          <t>T0543</t>
        </is>
      </c>
      <c r="B544" t="inlineStr">
        <is>
          <t>2024-04-21</t>
        </is>
      </c>
      <c r="C544" t="inlineStr">
        <is>
          <t>P029</t>
        </is>
      </c>
      <c r="D544" t="n">
        <v>1</v>
      </c>
      <c r="E544" t="n">
        <v>485</v>
      </c>
      <c r="F544" t="inlineStr">
        <is>
          <t>West</t>
        </is>
      </c>
    </row>
    <row r="545">
      <c r="A545" t="inlineStr">
        <is>
          <t>T0544</t>
        </is>
      </c>
      <c r="B545" t="inlineStr">
        <is>
          <t>2024-01-05</t>
        </is>
      </c>
      <c r="C545" t="inlineStr">
        <is>
          <t>P035</t>
        </is>
      </c>
      <c r="D545" t="n">
        <v>20</v>
      </c>
      <c r="E545" t="n">
        <v>450</v>
      </c>
      <c r="F545" t="inlineStr">
        <is>
          <t>West</t>
        </is>
      </c>
    </row>
    <row r="546">
      <c r="A546" t="inlineStr">
        <is>
          <t>T0545</t>
        </is>
      </c>
      <c r="B546" t="inlineStr">
        <is>
          <t>2024-07-09</t>
        </is>
      </c>
      <c r="C546" t="inlineStr">
        <is>
          <t>P047</t>
        </is>
      </c>
      <c r="D546" t="n">
        <v>5</v>
      </c>
      <c r="E546" t="n">
        <v>282</v>
      </c>
      <c r="F546" t="inlineStr">
        <is>
          <t>South</t>
        </is>
      </c>
    </row>
    <row r="547">
      <c r="A547" t="inlineStr">
        <is>
          <t>T0546</t>
        </is>
      </c>
      <c r="B547" t="inlineStr">
        <is>
          <t>2024-01-13</t>
        </is>
      </c>
      <c r="C547" t="inlineStr">
        <is>
          <t>P020</t>
        </is>
      </c>
      <c r="D547" t="n">
        <v>7</v>
      </c>
      <c r="E547" t="n">
        <v>361</v>
      </c>
      <c r="F547" t="inlineStr">
        <is>
          <t>South</t>
        </is>
      </c>
    </row>
    <row r="548">
      <c r="A548" t="inlineStr">
        <is>
          <t>T0547</t>
        </is>
      </c>
      <c r="B548" t="inlineStr">
        <is>
          <t>2024-12-16</t>
        </is>
      </c>
      <c r="C548" t="inlineStr">
        <is>
          <t>P041</t>
        </is>
      </c>
      <c r="D548" t="n">
        <v>6</v>
      </c>
      <c r="E548" t="n">
        <v>320</v>
      </c>
      <c r="F548" t="inlineStr">
        <is>
          <t>South</t>
        </is>
      </c>
    </row>
    <row r="549">
      <c r="A549" t="inlineStr">
        <is>
          <t>T0548</t>
        </is>
      </c>
      <c r="B549" t="inlineStr">
        <is>
          <t>2024-12-04</t>
        </is>
      </c>
      <c r="C549" t="inlineStr">
        <is>
          <t>P037</t>
        </is>
      </c>
      <c r="D549" t="n">
        <v>17</v>
      </c>
      <c r="E549" t="n">
        <v>199</v>
      </c>
      <c r="F549" t="inlineStr">
        <is>
          <t>South</t>
        </is>
      </c>
    </row>
    <row r="550">
      <c r="A550" t="inlineStr">
        <is>
          <t>T0549</t>
        </is>
      </c>
      <c r="B550" t="inlineStr">
        <is>
          <t>2024-02-14</t>
        </is>
      </c>
      <c r="C550" t="inlineStr">
        <is>
          <t>P048</t>
        </is>
      </c>
      <c r="D550" t="n">
        <v>15</v>
      </c>
      <c r="E550" t="n">
        <v>195</v>
      </c>
      <c r="F550" t="inlineStr">
        <is>
          <t>East</t>
        </is>
      </c>
    </row>
    <row r="551">
      <c r="A551" t="inlineStr">
        <is>
          <t>T0550</t>
        </is>
      </c>
      <c r="B551" t="inlineStr">
        <is>
          <t>2024-12-06</t>
        </is>
      </c>
      <c r="C551" t="inlineStr">
        <is>
          <t>P024</t>
        </is>
      </c>
      <c r="D551" t="n">
        <v>7</v>
      </c>
      <c r="E551" t="n">
        <v>439</v>
      </c>
      <c r="F551" t="inlineStr">
        <is>
          <t>West</t>
        </is>
      </c>
    </row>
    <row r="552">
      <c r="A552" t="inlineStr">
        <is>
          <t>T0551</t>
        </is>
      </c>
      <c r="B552" t="inlineStr">
        <is>
          <t>2024-12-16</t>
        </is>
      </c>
      <c r="C552" t="inlineStr">
        <is>
          <t>P024</t>
        </is>
      </c>
      <c r="D552" t="n">
        <v>14</v>
      </c>
      <c r="E552" t="n">
        <v>281</v>
      </c>
      <c r="F552" t="inlineStr">
        <is>
          <t>East</t>
        </is>
      </c>
    </row>
    <row r="553">
      <c r="A553" t="inlineStr">
        <is>
          <t>T0552</t>
        </is>
      </c>
      <c r="B553" t="inlineStr">
        <is>
          <t>2024-09-10</t>
        </is>
      </c>
      <c r="C553" t="inlineStr">
        <is>
          <t>P019</t>
        </is>
      </c>
      <c r="D553" t="n">
        <v>9</v>
      </c>
      <c r="E553" t="n">
        <v>158</v>
      </c>
      <c r="F553" t="inlineStr">
        <is>
          <t>South</t>
        </is>
      </c>
    </row>
    <row r="554">
      <c r="A554" t="inlineStr">
        <is>
          <t>T0553</t>
        </is>
      </c>
      <c r="B554" t="inlineStr">
        <is>
          <t>2024-11-17</t>
        </is>
      </c>
      <c r="C554" t="inlineStr">
        <is>
          <t>P004</t>
        </is>
      </c>
      <c r="D554" t="n">
        <v>11</v>
      </c>
      <c r="E554" t="n">
        <v>391</v>
      </c>
      <c r="F554" t="inlineStr">
        <is>
          <t>North</t>
        </is>
      </c>
    </row>
    <row r="555">
      <c r="A555" t="inlineStr">
        <is>
          <t>T0554</t>
        </is>
      </c>
      <c r="B555" t="inlineStr">
        <is>
          <t>2024-01-01</t>
        </is>
      </c>
      <c r="C555" t="inlineStr">
        <is>
          <t>P001</t>
        </is>
      </c>
      <c r="D555" t="n">
        <v>17</v>
      </c>
      <c r="E555" t="n">
        <v>396</v>
      </c>
      <c r="F555" t="inlineStr">
        <is>
          <t>East</t>
        </is>
      </c>
    </row>
    <row r="556">
      <c r="A556" t="inlineStr">
        <is>
          <t>T0555</t>
        </is>
      </c>
      <c r="B556" t="inlineStr">
        <is>
          <t>2024-08-23</t>
        </is>
      </c>
      <c r="C556" t="inlineStr">
        <is>
          <t>P033</t>
        </is>
      </c>
      <c r="D556" t="n">
        <v>10</v>
      </c>
      <c r="E556" t="n">
        <v>340</v>
      </c>
      <c r="F556" t="inlineStr">
        <is>
          <t>West</t>
        </is>
      </c>
    </row>
    <row r="557">
      <c r="A557" t="inlineStr">
        <is>
          <t>T0556</t>
        </is>
      </c>
      <c r="B557" t="inlineStr">
        <is>
          <t>2024-12-22</t>
        </is>
      </c>
      <c r="C557" t="inlineStr">
        <is>
          <t>P001</t>
        </is>
      </c>
      <c r="D557" t="n">
        <v>12</v>
      </c>
      <c r="E557" t="n">
        <v>354</v>
      </c>
      <c r="F557" t="inlineStr">
        <is>
          <t>South</t>
        </is>
      </c>
    </row>
    <row r="558">
      <c r="A558" t="inlineStr">
        <is>
          <t>T0557</t>
        </is>
      </c>
      <c r="B558" t="inlineStr">
        <is>
          <t>2024-07-12</t>
        </is>
      </c>
      <c r="C558" t="inlineStr">
        <is>
          <t>P027</t>
        </is>
      </c>
      <c r="D558" t="n">
        <v>12</v>
      </c>
      <c r="E558" t="n">
        <v>341</v>
      </c>
      <c r="F558" t="inlineStr">
        <is>
          <t>West</t>
        </is>
      </c>
    </row>
    <row r="559">
      <c r="A559" t="inlineStr">
        <is>
          <t>T0558</t>
        </is>
      </c>
      <c r="B559" t="inlineStr">
        <is>
          <t>2024-03-24</t>
        </is>
      </c>
      <c r="C559" t="inlineStr">
        <is>
          <t>P009</t>
        </is>
      </c>
      <c r="D559" t="n">
        <v>17</v>
      </c>
      <c r="E559" t="n">
        <v>242</v>
      </c>
      <c r="F559" t="inlineStr">
        <is>
          <t>North</t>
        </is>
      </c>
    </row>
    <row r="560">
      <c r="A560" t="inlineStr">
        <is>
          <t>T0559</t>
        </is>
      </c>
      <c r="B560" t="inlineStr">
        <is>
          <t>2024-08-31</t>
        </is>
      </c>
      <c r="C560" t="inlineStr">
        <is>
          <t>P030</t>
        </is>
      </c>
      <c r="D560" t="n">
        <v>4</v>
      </c>
      <c r="E560" t="n">
        <v>451</v>
      </c>
      <c r="F560" t="inlineStr">
        <is>
          <t>East</t>
        </is>
      </c>
    </row>
    <row r="561">
      <c r="A561" t="inlineStr">
        <is>
          <t>T0560</t>
        </is>
      </c>
      <c r="B561" t="inlineStr">
        <is>
          <t>2024-12-25</t>
        </is>
      </c>
      <c r="C561" t="inlineStr">
        <is>
          <t>P038</t>
        </is>
      </c>
      <c r="D561" t="n">
        <v>16</v>
      </c>
      <c r="E561" t="n">
        <v>436</v>
      </c>
      <c r="F561" t="inlineStr">
        <is>
          <t>West</t>
        </is>
      </c>
    </row>
    <row r="562">
      <c r="A562" t="inlineStr">
        <is>
          <t>T0561</t>
        </is>
      </c>
      <c r="B562" t="inlineStr">
        <is>
          <t>2024-04-20</t>
        </is>
      </c>
      <c r="C562" t="inlineStr">
        <is>
          <t>P047</t>
        </is>
      </c>
      <c r="D562" t="n">
        <v>1</v>
      </c>
      <c r="E562" t="n">
        <v>445</v>
      </c>
      <c r="F562" t="inlineStr">
        <is>
          <t>North</t>
        </is>
      </c>
    </row>
    <row r="563">
      <c r="A563" t="inlineStr">
        <is>
          <t>T0562</t>
        </is>
      </c>
      <c r="B563" t="inlineStr">
        <is>
          <t>2024-08-03</t>
        </is>
      </c>
      <c r="C563" t="inlineStr">
        <is>
          <t>P048</t>
        </is>
      </c>
      <c r="D563" t="n">
        <v>4</v>
      </c>
      <c r="E563" t="n">
        <v>123</v>
      </c>
      <c r="F563" t="inlineStr">
        <is>
          <t>West</t>
        </is>
      </c>
    </row>
    <row r="564">
      <c r="A564" t="inlineStr">
        <is>
          <t>T0563</t>
        </is>
      </c>
      <c r="B564" t="inlineStr">
        <is>
          <t>2024-06-07</t>
        </is>
      </c>
      <c r="C564" t="inlineStr">
        <is>
          <t>P023</t>
        </is>
      </c>
      <c r="D564" t="n">
        <v>12</v>
      </c>
      <c r="E564" t="n">
        <v>364</v>
      </c>
      <c r="F564" t="inlineStr">
        <is>
          <t>North</t>
        </is>
      </c>
    </row>
    <row r="565">
      <c r="A565" t="inlineStr">
        <is>
          <t>T0564</t>
        </is>
      </c>
      <c r="B565" t="inlineStr">
        <is>
          <t>2024-10-05</t>
        </is>
      </c>
      <c r="C565" t="inlineStr">
        <is>
          <t>P030</t>
        </is>
      </c>
      <c r="D565" t="n">
        <v>7</v>
      </c>
      <c r="E565" t="n">
        <v>117</v>
      </c>
      <c r="F565" t="inlineStr">
        <is>
          <t>East</t>
        </is>
      </c>
    </row>
    <row r="566">
      <c r="A566" t="inlineStr">
        <is>
          <t>T0565</t>
        </is>
      </c>
      <c r="B566" t="inlineStr">
        <is>
          <t>2024-12-08</t>
        </is>
      </c>
      <c r="C566" t="inlineStr">
        <is>
          <t>P035</t>
        </is>
      </c>
      <c r="D566" t="n">
        <v>12</v>
      </c>
      <c r="E566" t="n">
        <v>285</v>
      </c>
      <c r="F566" t="inlineStr">
        <is>
          <t>North</t>
        </is>
      </c>
    </row>
    <row r="567">
      <c r="A567" t="inlineStr">
        <is>
          <t>T0566</t>
        </is>
      </c>
      <c r="B567" t="inlineStr">
        <is>
          <t>2024-12-24</t>
        </is>
      </c>
      <c r="C567" t="inlineStr">
        <is>
          <t>P029</t>
        </is>
      </c>
      <c r="D567" t="n">
        <v>6</v>
      </c>
      <c r="E567" t="n">
        <v>74</v>
      </c>
      <c r="F567" t="inlineStr">
        <is>
          <t>East</t>
        </is>
      </c>
    </row>
    <row r="568">
      <c r="A568" t="inlineStr">
        <is>
          <t>T0567</t>
        </is>
      </c>
      <c r="B568" t="inlineStr">
        <is>
          <t>2024-07-02</t>
        </is>
      </c>
      <c r="C568" t="inlineStr">
        <is>
          <t>P044</t>
        </is>
      </c>
      <c r="D568" t="n">
        <v>20</v>
      </c>
      <c r="E568" t="n">
        <v>184</v>
      </c>
      <c r="F568" t="inlineStr">
        <is>
          <t>North</t>
        </is>
      </c>
    </row>
    <row r="569">
      <c r="A569" t="inlineStr">
        <is>
          <t>T0568</t>
        </is>
      </c>
      <c r="B569" t="inlineStr">
        <is>
          <t>2024-05-17</t>
        </is>
      </c>
      <c r="C569" t="inlineStr">
        <is>
          <t>P005</t>
        </is>
      </c>
      <c r="D569" t="n">
        <v>9</v>
      </c>
      <c r="E569" t="n">
        <v>192</v>
      </c>
      <c r="F569" t="inlineStr">
        <is>
          <t>East</t>
        </is>
      </c>
    </row>
    <row r="570">
      <c r="A570" t="inlineStr">
        <is>
          <t>T0569</t>
        </is>
      </c>
      <c r="B570" t="inlineStr">
        <is>
          <t>2024-09-19</t>
        </is>
      </c>
      <c r="C570" t="inlineStr">
        <is>
          <t>P047</t>
        </is>
      </c>
      <c r="D570" t="n">
        <v>14</v>
      </c>
      <c r="E570" t="n">
        <v>84</v>
      </c>
      <c r="F570" t="inlineStr">
        <is>
          <t>North</t>
        </is>
      </c>
    </row>
    <row r="571">
      <c r="A571" t="inlineStr">
        <is>
          <t>T0570</t>
        </is>
      </c>
      <c r="B571" t="inlineStr">
        <is>
          <t>2024-11-11</t>
        </is>
      </c>
      <c r="C571" t="inlineStr">
        <is>
          <t>P005</t>
        </is>
      </c>
      <c r="D571" t="n">
        <v>1</v>
      </c>
      <c r="E571" t="n">
        <v>122</v>
      </c>
      <c r="F571" t="inlineStr">
        <is>
          <t>East</t>
        </is>
      </c>
    </row>
    <row r="572">
      <c r="A572" t="inlineStr">
        <is>
          <t>T0571</t>
        </is>
      </c>
      <c r="B572" t="inlineStr">
        <is>
          <t>2024-04-19</t>
        </is>
      </c>
      <c r="C572" t="inlineStr">
        <is>
          <t>P035</t>
        </is>
      </c>
      <c r="D572" t="n">
        <v>8</v>
      </c>
      <c r="E572" t="n">
        <v>93</v>
      </c>
      <c r="F572" t="inlineStr">
        <is>
          <t>North</t>
        </is>
      </c>
    </row>
    <row r="573">
      <c r="A573" t="inlineStr">
        <is>
          <t>T0572</t>
        </is>
      </c>
      <c r="B573" t="inlineStr">
        <is>
          <t>2024-01-04</t>
        </is>
      </c>
      <c r="C573" t="inlineStr">
        <is>
          <t>P045</t>
        </is>
      </c>
      <c r="D573" t="n">
        <v>5</v>
      </c>
      <c r="E573" t="n">
        <v>341</v>
      </c>
      <c r="F573" t="inlineStr">
        <is>
          <t>West</t>
        </is>
      </c>
    </row>
    <row r="574">
      <c r="A574" t="inlineStr">
        <is>
          <t>T0573</t>
        </is>
      </c>
      <c r="B574" t="inlineStr">
        <is>
          <t>2024-03-30</t>
        </is>
      </c>
      <c r="C574" t="inlineStr">
        <is>
          <t>P021</t>
        </is>
      </c>
      <c r="D574" t="n">
        <v>17</v>
      </c>
      <c r="E574" t="n">
        <v>279</v>
      </c>
      <c r="F574" t="inlineStr">
        <is>
          <t>West</t>
        </is>
      </c>
    </row>
    <row r="575">
      <c r="A575" t="inlineStr">
        <is>
          <t>T0574</t>
        </is>
      </c>
      <c r="B575" t="inlineStr">
        <is>
          <t>2024-08-21</t>
        </is>
      </c>
      <c r="C575" t="inlineStr">
        <is>
          <t>P010</t>
        </is>
      </c>
      <c r="D575" t="n">
        <v>1</v>
      </c>
      <c r="E575" t="n">
        <v>429</v>
      </c>
      <c r="F575" t="inlineStr">
        <is>
          <t>North</t>
        </is>
      </c>
    </row>
    <row r="576">
      <c r="A576" t="inlineStr">
        <is>
          <t>T0575</t>
        </is>
      </c>
      <c r="B576" t="inlineStr">
        <is>
          <t>2024-05-21</t>
        </is>
      </c>
      <c r="C576" t="inlineStr">
        <is>
          <t>P016</t>
        </is>
      </c>
      <c r="D576" t="n">
        <v>13</v>
      </c>
      <c r="E576" t="n">
        <v>126</v>
      </c>
      <c r="F576" t="inlineStr">
        <is>
          <t>South</t>
        </is>
      </c>
    </row>
    <row r="577">
      <c r="A577" t="inlineStr">
        <is>
          <t>T0576</t>
        </is>
      </c>
      <c r="B577" t="inlineStr">
        <is>
          <t>2024-05-24</t>
        </is>
      </c>
      <c r="C577" t="inlineStr">
        <is>
          <t>P004</t>
        </is>
      </c>
      <c r="D577" t="n">
        <v>17</v>
      </c>
      <c r="E577" t="n">
        <v>166</v>
      </c>
      <c r="F577" t="inlineStr">
        <is>
          <t>East</t>
        </is>
      </c>
    </row>
    <row r="578">
      <c r="A578" t="inlineStr">
        <is>
          <t>T0577</t>
        </is>
      </c>
      <c r="B578" t="inlineStr">
        <is>
          <t>2024-12-09</t>
        </is>
      </c>
      <c r="C578" t="inlineStr">
        <is>
          <t>P022</t>
        </is>
      </c>
      <c r="D578" t="n">
        <v>3</v>
      </c>
      <c r="E578" t="n">
        <v>188</v>
      </c>
      <c r="F578" t="inlineStr">
        <is>
          <t>South</t>
        </is>
      </c>
    </row>
    <row r="579">
      <c r="A579" t="inlineStr">
        <is>
          <t>T0578</t>
        </is>
      </c>
      <c r="B579" t="inlineStr">
        <is>
          <t>2024-03-02</t>
        </is>
      </c>
      <c r="C579" t="inlineStr">
        <is>
          <t>P003</t>
        </is>
      </c>
      <c r="D579" t="n">
        <v>19</v>
      </c>
      <c r="E579" t="n">
        <v>377</v>
      </c>
      <c r="F579" t="inlineStr">
        <is>
          <t>South</t>
        </is>
      </c>
    </row>
    <row r="580">
      <c r="A580" t="inlineStr">
        <is>
          <t>T0579</t>
        </is>
      </c>
      <c r="B580" t="inlineStr">
        <is>
          <t>2024-12-04</t>
        </is>
      </c>
      <c r="C580" t="inlineStr">
        <is>
          <t>P029</t>
        </is>
      </c>
      <c r="D580" t="n">
        <v>17</v>
      </c>
      <c r="E580" t="n">
        <v>308</v>
      </c>
      <c r="F580" t="inlineStr">
        <is>
          <t>North</t>
        </is>
      </c>
    </row>
    <row r="581">
      <c r="A581" t="inlineStr">
        <is>
          <t>T0580</t>
        </is>
      </c>
      <c r="B581" t="inlineStr">
        <is>
          <t>2024-10-09</t>
        </is>
      </c>
      <c r="C581" t="inlineStr">
        <is>
          <t>P023</t>
        </is>
      </c>
      <c r="D581" t="n">
        <v>18</v>
      </c>
      <c r="E581" t="n">
        <v>278</v>
      </c>
      <c r="F581" t="inlineStr">
        <is>
          <t>North</t>
        </is>
      </c>
    </row>
    <row r="582">
      <c r="A582" t="inlineStr">
        <is>
          <t>T0581</t>
        </is>
      </c>
      <c r="B582" t="inlineStr">
        <is>
          <t>2024-12-30</t>
        </is>
      </c>
      <c r="C582" t="inlineStr">
        <is>
          <t>P021</t>
        </is>
      </c>
      <c r="D582" t="n">
        <v>4</v>
      </c>
      <c r="E582" t="n">
        <v>242</v>
      </c>
      <c r="F582" t="inlineStr">
        <is>
          <t>East</t>
        </is>
      </c>
    </row>
    <row r="583">
      <c r="A583" t="inlineStr">
        <is>
          <t>T0582</t>
        </is>
      </c>
      <c r="B583" t="inlineStr">
        <is>
          <t>2024-11-06</t>
        </is>
      </c>
      <c r="C583" t="inlineStr">
        <is>
          <t>P040</t>
        </is>
      </c>
      <c r="D583" t="n">
        <v>20</v>
      </c>
      <c r="E583" t="n">
        <v>380</v>
      </c>
      <c r="F583" t="inlineStr">
        <is>
          <t>South</t>
        </is>
      </c>
    </row>
    <row r="584">
      <c r="A584" t="inlineStr">
        <is>
          <t>T0583</t>
        </is>
      </c>
      <c r="B584" t="inlineStr">
        <is>
          <t>2024-09-05</t>
        </is>
      </c>
      <c r="C584" t="inlineStr">
        <is>
          <t>P030</t>
        </is>
      </c>
      <c r="D584" t="n">
        <v>2</v>
      </c>
      <c r="E584" t="n">
        <v>474</v>
      </c>
      <c r="F584" t="inlineStr">
        <is>
          <t>West</t>
        </is>
      </c>
    </row>
    <row r="585">
      <c r="A585" t="inlineStr">
        <is>
          <t>T0584</t>
        </is>
      </c>
      <c r="B585" t="inlineStr">
        <is>
          <t>2024-06-06</t>
        </is>
      </c>
      <c r="C585" t="inlineStr">
        <is>
          <t>P031</t>
        </is>
      </c>
      <c r="D585" t="n">
        <v>6</v>
      </c>
      <c r="E585" t="n">
        <v>188</v>
      </c>
      <c r="F585" t="inlineStr">
        <is>
          <t>East</t>
        </is>
      </c>
    </row>
    <row r="586">
      <c r="A586" t="inlineStr">
        <is>
          <t>T0585</t>
        </is>
      </c>
      <c r="B586" t="inlineStr">
        <is>
          <t>2024-06-27</t>
        </is>
      </c>
      <c r="C586" t="inlineStr">
        <is>
          <t>P034</t>
        </is>
      </c>
      <c r="D586" t="n">
        <v>8</v>
      </c>
      <c r="E586" t="n">
        <v>314</v>
      </c>
      <c r="F586" t="inlineStr">
        <is>
          <t>West</t>
        </is>
      </c>
    </row>
    <row r="587">
      <c r="A587" t="inlineStr">
        <is>
          <t>T0586</t>
        </is>
      </c>
      <c r="B587" t="inlineStr">
        <is>
          <t>2024-10-13</t>
        </is>
      </c>
      <c r="C587" t="inlineStr">
        <is>
          <t>P001</t>
        </is>
      </c>
      <c r="D587" t="n">
        <v>17</v>
      </c>
      <c r="E587" t="n">
        <v>482</v>
      </c>
      <c r="F587" t="inlineStr">
        <is>
          <t>North</t>
        </is>
      </c>
    </row>
    <row r="588">
      <c r="A588" t="inlineStr">
        <is>
          <t>T0587</t>
        </is>
      </c>
      <c r="B588" t="inlineStr">
        <is>
          <t>2024-10-30</t>
        </is>
      </c>
      <c r="C588" t="inlineStr">
        <is>
          <t>P044</t>
        </is>
      </c>
      <c r="D588" t="n">
        <v>1</v>
      </c>
      <c r="E588" t="n">
        <v>275</v>
      </c>
      <c r="F588" t="inlineStr">
        <is>
          <t>East</t>
        </is>
      </c>
    </row>
    <row r="589">
      <c r="A589" t="inlineStr">
        <is>
          <t>T0588</t>
        </is>
      </c>
      <c r="B589" t="inlineStr">
        <is>
          <t>2024-07-03</t>
        </is>
      </c>
      <c r="C589" t="inlineStr">
        <is>
          <t>P011</t>
        </is>
      </c>
      <c r="D589" t="n">
        <v>6</v>
      </c>
      <c r="E589" t="n">
        <v>257</v>
      </c>
      <c r="F589" t="inlineStr">
        <is>
          <t>West</t>
        </is>
      </c>
    </row>
    <row r="590">
      <c r="A590" t="inlineStr">
        <is>
          <t>T0589</t>
        </is>
      </c>
      <c r="B590" t="inlineStr">
        <is>
          <t>2024-07-07</t>
        </is>
      </c>
      <c r="C590" t="inlineStr">
        <is>
          <t>P018</t>
        </is>
      </c>
      <c r="D590" t="n">
        <v>14</v>
      </c>
      <c r="E590" t="n">
        <v>405</v>
      </c>
      <c r="F590" t="inlineStr">
        <is>
          <t>South</t>
        </is>
      </c>
    </row>
    <row r="591">
      <c r="A591" t="inlineStr">
        <is>
          <t>T0590</t>
        </is>
      </c>
      <c r="B591" t="inlineStr">
        <is>
          <t>2024-02-19</t>
        </is>
      </c>
      <c r="C591" t="inlineStr">
        <is>
          <t>P022</t>
        </is>
      </c>
      <c r="D591" t="n">
        <v>2</v>
      </c>
      <c r="E591" t="n">
        <v>260</v>
      </c>
      <c r="F591" t="inlineStr">
        <is>
          <t>East</t>
        </is>
      </c>
    </row>
    <row r="592">
      <c r="A592" t="inlineStr">
        <is>
          <t>T0591</t>
        </is>
      </c>
      <c r="B592" t="inlineStr">
        <is>
          <t>2024-07-13</t>
        </is>
      </c>
      <c r="C592" t="inlineStr">
        <is>
          <t>P049</t>
        </is>
      </c>
      <c r="D592" t="n">
        <v>8</v>
      </c>
      <c r="E592" t="n">
        <v>106</v>
      </c>
      <c r="F592" t="inlineStr">
        <is>
          <t>West</t>
        </is>
      </c>
    </row>
    <row r="593">
      <c r="A593" t="inlineStr">
        <is>
          <t>T0592</t>
        </is>
      </c>
      <c r="B593" t="inlineStr">
        <is>
          <t>2024-02-14</t>
        </is>
      </c>
      <c r="C593" t="inlineStr">
        <is>
          <t>P034</t>
        </is>
      </c>
      <c r="D593" t="n">
        <v>5</v>
      </c>
      <c r="E593" t="n">
        <v>149</v>
      </c>
      <c r="F593" t="inlineStr">
        <is>
          <t>North</t>
        </is>
      </c>
    </row>
    <row r="594">
      <c r="A594" t="inlineStr">
        <is>
          <t>T0593</t>
        </is>
      </c>
      <c r="B594" t="inlineStr">
        <is>
          <t>2024-01-22</t>
        </is>
      </c>
      <c r="C594" t="inlineStr">
        <is>
          <t>P022</t>
        </is>
      </c>
      <c r="D594" t="n">
        <v>13</v>
      </c>
      <c r="E594" t="n">
        <v>311</v>
      </c>
      <c r="F594" t="inlineStr">
        <is>
          <t>North</t>
        </is>
      </c>
    </row>
    <row r="595">
      <c r="A595" t="inlineStr">
        <is>
          <t>T0594</t>
        </is>
      </c>
      <c r="B595" t="inlineStr">
        <is>
          <t>2024-05-18</t>
        </is>
      </c>
      <c r="C595" t="inlineStr">
        <is>
          <t>P038</t>
        </is>
      </c>
      <c r="D595" t="n">
        <v>20</v>
      </c>
      <c r="E595" t="n">
        <v>97</v>
      </c>
      <c r="F595" t="inlineStr">
        <is>
          <t>West</t>
        </is>
      </c>
    </row>
    <row r="596">
      <c r="A596" t="inlineStr">
        <is>
          <t>T0595</t>
        </is>
      </c>
      <c r="B596" t="inlineStr">
        <is>
          <t>2024-06-05</t>
        </is>
      </c>
      <c r="C596" t="inlineStr">
        <is>
          <t>P016</t>
        </is>
      </c>
      <c r="D596" t="n">
        <v>9</v>
      </c>
      <c r="E596" t="n">
        <v>384</v>
      </c>
      <c r="F596" t="inlineStr">
        <is>
          <t>South</t>
        </is>
      </c>
    </row>
    <row r="597">
      <c r="A597" t="inlineStr">
        <is>
          <t>T0596</t>
        </is>
      </c>
      <c r="B597" t="inlineStr">
        <is>
          <t>2024-08-31</t>
        </is>
      </c>
      <c r="C597" t="inlineStr">
        <is>
          <t>P019</t>
        </is>
      </c>
      <c r="D597" t="n">
        <v>11</v>
      </c>
      <c r="E597" t="n">
        <v>491</v>
      </c>
      <c r="F597" t="inlineStr">
        <is>
          <t>West</t>
        </is>
      </c>
    </row>
    <row r="598">
      <c r="A598" t="inlineStr">
        <is>
          <t>T0597</t>
        </is>
      </c>
      <c r="B598" t="inlineStr">
        <is>
          <t>2024-12-20</t>
        </is>
      </c>
      <c r="C598" t="inlineStr">
        <is>
          <t>P006</t>
        </is>
      </c>
      <c r="D598" t="n">
        <v>15</v>
      </c>
      <c r="E598" t="n">
        <v>69</v>
      </c>
      <c r="F598" t="inlineStr">
        <is>
          <t>West</t>
        </is>
      </c>
    </row>
    <row r="599">
      <c r="A599" t="inlineStr">
        <is>
          <t>T0598</t>
        </is>
      </c>
      <c r="B599" t="inlineStr">
        <is>
          <t>2024-11-06</t>
        </is>
      </c>
      <c r="C599" t="inlineStr">
        <is>
          <t>P001</t>
        </is>
      </c>
      <c r="D599" t="n">
        <v>6</v>
      </c>
      <c r="E599" t="n">
        <v>176</v>
      </c>
      <c r="F599" t="inlineStr">
        <is>
          <t>South</t>
        </is>
      </c>
    </row>
    <row r="600">
      <c r="A600" t="inlineStr">
        <is>
          <t>T0599</t>
        </is>
      </c>
      <c r="B600" t="inlineStr">
        <is>
          <t>2024-03-08</t>
        </is>
      </c>
      <c r="C600" t="inlineStr">
        <is>
          <t>P032</t>
        </is>
      </c>
      <c r="D600" t="n">
        <v>17</v>
      </c>
      <c r="E600" t="n">
        <v>473</v>
      </c>
      <c r="F600" t="inlineStr">
        <is>
          <t>East</t>
        </is>
      </c>
    </row>
    <row r="601">
      <c r="A601" t="inlineStr">
        <is>
          <t>T0600</t>
        </is>
      </c>
      <c r="B601" t="inlineStr">
        <is>
          <t>2024-05-15</t>
        </is>
      </c>
      <c r="C601" t="inlineStr">
        <is>
          <t>P043</t>
        </is>
      </c>
      <c r="D601" t="n">
        <v>5</v>
      </c>
      <c r="E601" t="n">
        <v>164</v>
      </c>
      <c r="F601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 Advanced Questions (Use VLOOKUP, HLOOKUP, INDEX, MATCH, XLOOKUP, OFFSET)</t>
        </is>
      </c>
    </row>
    <row r="2">
      <c r="A2" t="inlineStr">
        <is>
          <t>1. Fetch ProductName for each Sales row using VLOOKUP</t>
        </is>
      </c>
    </row>
    <row r="3">
      <c r="A3" t="inlineStr">
        <is>
          <t>2. Fetch Category using INDEX + MATCH (avoid VLOOKUP)</t>
        </is>
      </c>
    </row>
    <row r="4">
      <c r="A4" t="inlineStr">
        <is>
          <t>3. Get BasePrice using XLOOKUP</t>
        </is>
      </c>
    </row>
    <row r="5">
      <c r="A5" t="inlineStr">
        <is>
          <t>4. Calculate Revenue = Quantity * UnitPrice</t>
        </is>
      </c>
    </row>
    <row r="6">
      <c r="A6" t="inlineStr">
        <is>
          <t>5. Use MATCH to find position of ProductID in Products table</t>
        </is>
      </c>
    </row>
    <row r="7">
      <c r="A7" t="inlineStr">
        <is>
          <t>6. Use OFFSET to dynamically fetch UnitPrice shifted by 1 row down</t>
        </is>
      </c>
    </row>
    <row r="8">
      <c r="A8" t="inlineStr">
        <is>
          <t>7. HLOOKUP scenario: Create a small horizontal table (manually) and lookup Region-based value</t>
        </is>
      </c>
    </row>
    <row r="9">
      <c r="A9" t="inlineStr">
        <is>
          <t>8. Advanced: If Revenue &gt; 5000 and Category='Electronics' then 'High Value' else 'Normal'</t>
        </is>
      </c>
    </row>
    <row r="10">
      <c r="A10" t="inlineStr">
        <is>
          <t>9. Find latest transaction date for a ProductID using MAX + IF (array thinking)</t>
        </is>
      </c>
    </row>
    <row r="11">
      <c r="A11" t="inlineStr">
        <is>
          <t>10. Dynamic lookup: Switch between BasePrice and Category using CHOOSE +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BasePrice</t>
        </is>
      </c>
      <c r="E1" t="inlineStr">
        <is>
          <t>Revenue</t>
        </is>
      </c>
      <c r="F1" t="inlineStr">
        <is>
          <t>Position</t>
        </is>
      </c>
      <c r="G1" t="inlineStr">
        <is>
          <t>OffsetPrice</t>
        </is>
      </c>
      <c r="H1" t="inlineStr">
        <is>
          <t>Flag</t>
        </is>
      </c>
    </row>
    <row r="2">
      <c r="A2">
        <f>Sales!A2</f>
        <v/>
      </c>
      <c r="B2">
        <f>VLOOKUP(Sales!C2,Products!A:E,2,FALSE)</f>
        <v/>
      </c>
      <c r="C2">
        <f>INDEX(Products!C:C, MATCH(Sales!C2, Products!A:A, 0))</f>
        <v/>
      </c>
      <c r="D2">
        <f>XLOOKUP(Sales!C2, Products!A:A, Products!D:D)</f>
        <v/>
      </c>
      <c r="E2">
        <f>Sales!D2*Sales!E2</f>
        <v/>
      </c>
      <c r="F2">
        <f>MATCH(Sales!C2, Products!A:A, 0)</f>
        <v/>
      </c>
      <c r="G2">
        <f>OFFSET(Sales!E2,1,0)</f>
        <v/>
      </c>
      <c r="H2">
        <f>IF(AND(Sales!D2*Sales!E2&gt;5000, INDEX(Products!C:C, MATCH(Sales!C2, Products!A:A, 0))="Electronics"),"High Value","Normal")</f>
        <v/>
      </c>
    </row>
    <row r="3">
      <c r="A3">
        <f>Sales!A3</f>
        <v/>
      </c>
      <c r="B3">
        <f>VLOOKUP(Sales!C3,Products!A:E,2,FALSE)</f>
        <v/>
      </c>
      <c r="C3">
        <f>INDEX(Products!C:C, MATCH(Sales!C3, Products!A:A, 0))</f>
        <v/>
      </c>
      <c r="D3">
        <f>XLOOKUP(Sales!C3, Products!A:A, Products!D:D)</f>
        <v/>
      </c>
      <c r="E3">
        <f>Sales!D3*Sales!E3</f>
        <v/>
      </c>
      <c r="F3">
        <f>MATCH(Sales!C3, Products!A:A, 0)</f>
        <v/>
      </c>
      <c r="G3">
        <f>OFFSET(Sales!E3,1,0)</f>
        <v/>
      </c>
      <c r="H3">
        <f>IF(AND(Sales!D3*Sales!E3&gt;5000, INDEX(Products!C:C, MATCH(Sales!C3, Products!A:A, 0))="Electronics"),"High Value","Normal")</f>
        <v/>
      </c>
    </row>
    <row r="4">
      <c r="A4">
        <f>Sales!A4</f>
        <v/>
      </c>
      <c r="B4">
        <f>VLOOKUP(Sales!C4,Products!A:E,2,FALSE)</f>
        <v/>
      </c>
      <c r="C4">
        <f>INDEX(Products!C:C, MATCH(Sales!C4, Products!A:A, 0))</f>
        <v/>
      </c>
      <c r="D4">
        <f>XLOOKUP(Sales!C4, Products!A:A, Products!D:D)</f>
        <v/>
      </c>
      <c r="E4">
        <f>Sales!D4*Sales!E4</f>
        <v/>
      </c>
      <c r="F4">
        <f>MATCH(Sales!C4, Products!A:A, 0)</f>
        <v/>
      </c>
      <c r="G4">
        <f>OFFSET(Sales!E4,1,0)</f>
        <v/>
      </c>
      <c r="H4">
        <f>IF(AND(Sales!D4*Sales!E4&gt;5000, INDEX(Products!C:C, MATCH(Sales!C4, Products!A:A, 0))="Electronics"),"High Value","Normal")</f>
        <v/>
      </c>
    </row>
    <row r="5">
      <c r="A5">
        <f>Sales!A5</f>
        <v/>
      </c>
      <c r="B5">
        <f>VLOOKUP(Sales!C5,Products!A:E,2,FALSE)</f>
        <v/>
      </c>
      <c r="C5">
        <f>INDEX(Products!C:C, MATCH(Sales!C5, Products!A:A, 0))</f>
        <v/>
      </c>
      <c r="D5">
        <f>XLOOKUP(Sales!C5, Products!A:A, Products!D:D)</f>
        <v/>
      </c>
      <c r="E5">
        <f>Sales!D5*Sales!E5</f>
        <v/>
      </c>
      <c r="F5">
        <f>MATCH(Sales!C5, Products!A:A, 0)</f>
        <v/>
      </c>
      <c r="G5">
        <f>OFFSET(Sales!E5,1,0)</f>
        <v/>
      </c>
      <c r="H5">
        <f>IF(AND(Sales!D5*Sales!E5&gt;5000, INDEX(Products!C:C, MATCH(Sales!C5, Products!A:A, 0))="Electronics"),"High Value","Normal")</f>
        <v/>
      </c>
    </row>
    <row r="6">
      <c r="A6">
        <f>Sales!A6</f>
        <v/>
      </c>
      <c r="B6">
        <f>VLOOKUP(Sales!C6,Products!A:E,2,FALSE)</f>
        <v/>
      </c>
      <c r="C6">
        <f>INDEX(Products!C:C, MATCH(Sales!C6, Products!A:A, 0))</f>
        <v/>
      </c>
      <c r="D6">
        <f>XLOOKUP(Sales!C6, Products!A:A, Products!D:D)</f>
        <v/>
      </c>
      <c r="E6">
        <f>Sales!D6*Sales!E6</f>
        <v/>
      </c>
      <c r="F6">
        <f>MATCH(Sales!C6, Products!A:A, 0)</f>
        <v/>
      </c>
      <c r="G6">
        <f>OFFSET(Sales!E6,1,0)</f>
        <v/>
      </c>
      <c r="H6">
        <f>IF(AND(Sales!D6*Sales!E6&gt;5000, INDEX(Products!C:C, MATCH(Sales!C6, Products!A:A, 0))="Electronics"),"High Value","Normal")</f>
        <v/>
      </c>
    </row>
    <row r="7">
      <c r="A7">
        <f>Sales!A7</f>
        <v/>
      </c>
      <c r="B7">
        <f>VLOOKUP(Sales!C7,Products!A:E,2,FALSE)</f>
        <v/>
      </c>
      <c r="C7">
        <f>INDEX(Products!C:C, MATCH(Sales!C7, Products!A:A, 0))</f>
        <v/>
      </c>
      <c r="D7">
        <f>XLOOKUP(Sales!C7, Products!A:A, Products!D:D)</f>
        <v/>
      </c>
      <c r="E7">
        <f>Sales!D7*Sales!E7</f>
        <v/>
      </c>
      <c r="F7">
        <f>MATCH(Sales!C7, Products!A:A, 0)</f>
        <v/>
      </c>
      <c r="G7">
        <f>OFFSET(Sales!E7,1,0)</f>
        <v/>
      </c>
      <c r="H7">
        <f>IF(AND(Sales!D7*Sales!E7&gt;5000, INDEX(Products!C:C, MATCH(Sales!C7, Products!A:A, 0))="Electronics"),"High Value","Normal")</f>
        <v/>
      </c>
    </row>
    <row r="8">
      <c r="A8">
        <f>Sales!A8</f>
        <v/>
      </c>
      <c r="B8">
        <f>VLOOKUP(Sales!C8,Products!A:E,2,FALSE)</f>
        <v/>
      </c>
      <c r="C8">
        <f>INDEX(Products!C:C, MATCH(Sales!C8, Products!A:A, 0))</f>
        <v/>
      </c>
      <c r="D8">
        <f>XLOOKUP(Sales!C8, Products!A:A, Products!D:D)</f>
        <v/>
      </c>
      <c r="E8">
        <f>Sales!D8*Sales!E8</f>
        <v/>
      </c>
      <c r="F8">
        <f>MATCH(Sales!C8, Products!A:A, 0)</f>
        <v/>
      </c>
      <c r="G8">
        <f>OFFSET(Sales!E8,1,0)</f>
        <v/>
      </c>
      <c r="H8">
        <f>IF(AND(Sales!D8*Sales!E8&gt;5000, INDEX(Products!C:C, MATCH(Sales!C8, Products!A:A, 0))="Electronics"),"High Value","Normal")</f>
        <v/>
      </c>
    </row>
    <row r="9">
      <c r="A9">
        <f>Sales!A9</f>
        <v/>
      </c>
      <c r="B9">
        <f>VLOOKUP(Sales!C9,Products!A:E,2,FALSE)</f>
        <v/>
      </c>
      <c r="C9">
        <f>INDEX(Products!C:C, MATCH(Sales!C9, Products!A:A, 0))</f>
        <v/>
      </c>
      <c r="D9">
        <f>XLOOKUP(Sales!C9, Products!A:A, Products!D:D)</f>
        <v/>
      </c>
      <c r="E9">
        <f>Sales!D9*Sales!E9</f>
        <v/>
      </c>
      <c r="F9">
        <f>MATCH(Sales!C9, Products!A:A, 0)</f>
        <v/>
      </c>
      <c r="G9">
        <f>OFFSET(Sales!E9,1,0)</f>
        <v/>
      </c>
      <c r="H9">
        <f>IF(AND(Sales!D9*Sales!E9&gt;5000, INDEX(Products!C:C, MATCH(Sales!C9, Products!A:A, 0))="Electronics"),"High Value","Normal")</f>
        <v/>
      </c>
    </row>
    <row r="10">
      <c r="A10">
        <f>Sales!A10</f>
        <v/>
      </c>
      <c r="B10">
        <f>VLOOKUP(Sales!C10,Products!A:E,2,FALSE)</f>
        <v/>
      </c>
      <c r="C10">
        <f>INDEX(Products!C:C, MATCH(Sales!C10, Products!A:A, 0))</f>
        <v/>
      </c>
      <c r="D10">
        <f>XLOOKUP(Sales!C10, Products!A:A, Products!D:D)</f>
        <v/>
      </c>
      <c r="E10">
        <f>Sales!D10*Sales!E10</f>
        <v/>
      </c>
      <c r="F10">
        <f>MATCH(Sales!C10, Products!A:A, 0)</f>
        <v/>
      </c>
      <c r="G10">
        <f>OFFSET(Sales!E10,1,0)</f>
        <v/>
      </c>
      <c r="H10">
        <f>IF(AND(Sales!D10*Sales!E10&gt;5000, INDEX(Products!C:C, MATCH(Sales!C10, Products!A:A, 0))="Electronics"),"High Value","Normal")</f>
        <v/>
      </c>
    </row>
    <row r="11">
      <c r="A11">
        <f>Sales!A11</f>
        <v/>
      </c>
      <c r="B11">
        <f>VLOOKUP(Sales!C11,Products!A:E,2,FALSE)</f>
        <v/>
      </c>
      <c r="C11">
        <f>INDEX(Products!C:C, MATCH(Sales!C11, Products!A:A, 0))</f>
        <v/>
      </c>
      <c r="D11">
        <f>XLOOKUP(Sales!C11, Products!A:A, Products!D:D)</f>
        <v/>
      </c>
      <c r="E11">
        <f>Sales!D11*Sales!E11</f>
        <v/>
      </c>
      <c r="F11">
        <f>MATCH(Sales!C11, Products!A:A, 0)</f>
        <v/>
      </c>
      <c r="G11">
        <f>OFFSET(Sales!E11,1,0)</f>
        <v/>
      </c>
      <c r="H11">
        <f>IF(AND(Sales!D11*Sales!E11&gt;5000, INDEX(Products!C:C, MATCH(Sales!C11, Products!A:A, 0))="Electronics"),"High Value","Normal")</f>
        <v/>
      </c>
    </row>
    <row r="12">
      <c r="A12">
        <f>Sales!A12</f>
        <v/>
      </c>
      <c r="B12">
        <f>VLOOKUP(Sales!C12,Products!A:E,2,FALSE)</f>
        <v/>
      </c>
      <c r="C12">
        <f>INDEX(Products!C:C, MATCH(Sales!C12, Products!A:A, 0))</f>
        <v/>
      </c>
      <c r="D12">
        <f>XLOOKUP(Sales!C12, Products!A:A, Products!D:D)</f>
        <v/>
      </c>
      <c r="E12">
        <f>Sales!D12*Sales!E12</f>
        <v/>
      </c>
      <c r="F12">
        <f>MATCH(Sales!C12, Products!A:A, 0)</f>
        <v/>
      </c>
      <c r="G12">
        <f>OFFSET(Sales!E12,1,0)</f>
        <v/>
      </c>
      <c r="H12">
        <f>IF(AND(Sales!D12*Sales!E12&gt;5000, INDEX(Products!C:C, MATCH(Sales!C12, Products!A:A, 0))="Electronics"),"High Value","Normal")</f>
        <v/>
      </c>
    </row>
    <row r="13">
      <c r="A13">
        <f>Sales!A13</f>
        <v/>
      </c>
      <c r="B13">
        <f>VLOOKUP(Sales!C13,Products!A:E,2,FALSE)</f>
        <v/>
      </c>
      <c r="C13">
        <f>INDEX(Products!C:C, MATCH(Sales!C13, Products!A:A, 0))</f>
        <v/>
      </c>
      <c r="D13">
        <f>XLOOKUP(Sales!C13, Products!A:A, Products!D:D)</f>
        <v/>
      </c>
      <c r="E13">
        <f>Sales!D13*Sales!E13</f>
        <v/>
      </c>
      <c r="F13">
        <f>MATCH(Sales!C13, Products!A:A, 0)</f>
        <v/>
      </c>
      <c r="G13">
        <f>OFFSET(Sales!E13,1,0)</f>
        <v/>
      </c>
      <c r="H13">
        <f>IF(AND(Sales!D13*Sales!E13&gt;5000, INDEX(Products!C:C, MATCH(Sales!C13, Products!A:A, 0))="Electronics"),"High Value","Normal")</f>
        <v/>
      </c>
    </row>
    <row r="14">
      <c r="A14">
        <f>Sales!A14</f>
        <v/>
      </c>
      <c r="B14">
        <f>VLOOKUP(Sales!C14,Products!A:E,2,FALSE)</f>
        <v/>
      </c>
      <c r="C14">
        <f>INDEX(Products!C:C, MATCH(Sales!C14, Products!A:A, 0))</f>
        <v/>
      </c>
      <c r="D14">
        <f>XLOOKUP(Sales!C14, Products!A:A, Products!D:D)</f>
        <v/>
      </c>
      <c r="E14">
        <f>Sales!D14*Sales!E14</f>
        <v/>
      </c>
      <c r="F14">
        <f>MATCH(Sales!C14, Products!A:A, 0)</f>
        <v/>
      </c>
      <c r="G14">
        <f>OFFSET(Sales!E14,1,0)</f>
        <v/>
      </c>
      <c r="H14">
        <f>IF(AND(Sales!D14*Sales!E14&gt;5000, INDEX(Products!C:C, MATCH(Sales!C14, Products!A:A, 0))="Electronics"),"High Value","Normal")</f>
        <v/>
      </c>
    </row>
    <row r="15">
      <c r="A15">
        <f>Sales!A15</f>
        <v/>
      </c>
      <c r="B15">
        <f>VLOOKUP(Sales!C15,Products!A:E,2,FALSE)</f>
        <v/>
      </c>
      <c r="C15">
        <f>INDEX(Products!C:C, MATCH(Sales!C15, Products!A:A, 0))</f>
        <v/>
      </c>
      <c r="D15">
        <f>XLOOKUP(Sales!C15, Products!A:A, Products!D:D)</f>
        <v/>
      </c>
      <c r="E15">
        <f>Sales!D15*Sales!E15</f>
        <v/>
      </c>
      <c r="F15">
        <f>MATCH(Sales!C15, Products!A:A, 0)</f>
        <v/>
      </c>
      <c r="G15">
        <f>OFFSET(Sales!E15,1,0)</f>
        <v/>
      </c>
      <c r="H15">
        <f>IF(AND(Sales!D15*Sales!E15&gt;5000, INDEX(Products!C:C, MATCH(Sales!C15, Products!A:A, 0))="Electronics"),"High Value","Normal")</f>
        <v/>
      </c>
    </row>
    <row r="16">
      <c r="A16">
        <f>Sales!A16</f>
        <v/>
      </c>
      <c r="B16">
        <f>VLOOKUP(Sales!C16,Products!A:E,2,FALSE)</f>
        <v/>
      </c>
      <c r="C16">
        <f>INDEX(Products!C:C, MATCH(Sales!C16, Products!A:A, 0))</f>
        <v/>
      </c>
      <c r="D16">
        <f>XLOOKUP(Sales!C16, Products!A:A, Products!D:D)</f>
        <v/>
      </c>
      <c r="E16">
        <f>Sales!D16*Sales!E16</f>
        <v/>
      </c>
      <c r="F16">
        <f>MATCH(Sales!C16, Products!A:A, 0)</f>
        <v/>
      </c>
      <c r="G16">
        <f>OFFSET(Sales!E16,1,0)</f>
        <v/>
      </c>
      <c r="H16">
        <f>IF(AND(Sales!D16*Sales!E16&gt;5000, INDEX(Products!C:C, MATCH(Sales!C16, Products!A:A, 0))="Electronics"),"High Value","Normal")</f>
        <v/>
      </c>
    </row>
    <row r="17">
      <c r="A17">
        <f>Sales!A17</f>
        <v/>
      </c>
      <c r="B17">
        <f>VLOOKUP(Sales!C17,Products!A:E,2,FALSE)</f>
        <v/>
      </c>
      <c r="C17">
        <f>INDEX(Products!C:C, MATCH(Sales!C17, Products!A:A, 0))</f>
        <v/>
      </c>
      <c r="D17">
        <f>XLOOKUP(Sales!C17, Products!A:A, Products!D:D)</f>
        <v/>
      </c>
      <c r="E17">
        <f>Sales!D17*Sales!E17</f>
        <v/>
      </c>
      <c r="F17">
        <f>MATCH(Sales!C17, Products!A:A, 0)</f>
        <v/>
      </c>
      <c r="G17">
        <f>OFFSET(Sales!E17,1,0)</f>
        <v/>
      </c>
      <c r="H17">
        <f>IF(AND(Sales!D17*Sales!E17&gt;5000, INDEX(Products!C:C, MATCH(Sales!C17, Products!A:A, 0))="Electronics"),"High Value","Normal")</f>
        <v/>
      </c>
    </row>
    <row r="18">
      <c r="A18">
        <f>Sales!A18</f>
        <v/>
      </c>
      <c r="B18">
        <f>VLOOKUP(Sales!C18,Products!A:E,2,FALSE)</f>
        <v/>
      </c>
      <c r="C18">
        <f>INDEX(Products!C:C, MATCH(Sales!C18, Products!A:A, 0))</f>
        <v/>
      </c>
      <c r="D18">
        <f>XLOOKUP(Sales!C18, Products!A:A, Products!D:D)</f>
        <v/>
      </c>
      <c r="E18">
        <f>Sales!D18*Sales!E18</f>
        <v/>
      </c>
      <c r="F18">
        <f>MATCH(Sales!C18, Products!A:A, 0)</f>
        <v/>
      </c>
      <c r="G18">
        <f>OFFSET(Sales!E18,1,0)</f>
        <v/>
      </c>
      <c r="H18">
        <f>IF(AND(Sales!D18*Sales!E18&gt;5000, INDEX(Products!C:C, MATCH(Sales!C18, Products!A:A, 0))="Electronics"),"High Value","Normal")</f>
        <v/>
      </c>
    </row>
    <row r="19">
      <c r="A19">
        <f>Sales!A19</f>
        <v/>
      </c>
      <c r="B19">
        <f>VLOOKUP(Sales!C19,Products!A:E,2,FALSE)</f>
        <v/>
      </c>
      <c r="C19">
        <f>INDEX(Products!C:C, MATCH(Sales!C19, Products!A:A, 0))</f>
        <v/>
      </c>
      <c r="D19">
        <f>XLOOKUP(Sales!C19, Products!A:A, Products!D:D)</f>
        <v/>
      </c>
      <c r="E19">
        <f>Sales!D19*Sales!E19</f>
        <v/>
      </c>
      <c r="F19">
        <f>MATCH(Sales!C19, Products!A:A, 0)</f>
        <v/>
      </c>
      <c r="G19">
        <f>OFFSET(Sales!E19,1,0)</f>
        <v/>
      </c>
      <c r="H19">
        <f>IF(AND(Sales!D19*Sales!E19&gt;5000, INDEX(Products!C:C, MATCH(Sales!C19, Products!A:A, 0))="Electronics"),"High Value","Normal")</f>
        <v/>
      </c>
    </row>
    <row r="20">
      <c r="A20">
        <f>Sales!A20</f>
        <v/>
      </c>
      <c r="B20">
        <f>VLOOKUP(Sales!C20,Products!A:E,2,FALSE)</f>
        <v/>
      </c>
      <c r="C20">
        <f>INDEX(Products!C:C, MATCH(Sales!C20, Products!A:A, 0))</f>
        <v/>
      </c>
      <c r="D20">
        <f>XLOOKUP(Sales!C20, Products!A:A, Products!D:D)</f>
        <v/>
      </c>
      <c r="E20">
        <f>Sales!D20*Sales!E20</f>
        <v/>
      </c>
      <c r="F20">
        <f>MATCH(Sales!C20, Products!A:A, 0)</f>
        <v/>
      </c>
      <c r="G20">
        <f>OFFSET(Sales!E20,1,0)</f>
        <v/>
      </c>
      <c r="H20">
        <f>IF(AND(Sales!D20*Sales!E20&gt;5000, INDEX(Products!C:C, MATCH(Sales!C20, Products!A:A, 0))="Electronics"),"High Value","Normal")</f>
        <v/>
      </c>
    </row>
    <row r="21">
      <c r="A21">
        <f>Sales!A21</f>
        <v/>
      </c>
      <c r="B21">
        <f>VLOOKUP(Sales!C21,Products!A:E,2,FALSE)</f>
        <v/>
      </c>
      <c r="C21">
        <f>INDEX(Products!C:C, MATCH(Sales!C21, Products!A:A, 0))</f>
        <v/>
      </c>
      <c r="D21">
        <f>XLOOKUP(Sales!C21, Products!A:A, Products!D:D)</f>
        <v/>
      </c>
      <c r="E21">
        <f>Sales!D21*Sales!E21</f>
        <v/>
      </c>
      <c r="F21">
        <f>MATCH(Sales!C21, Products!A:A, 0)</f>
        <v/>
      </c>
      <c r="G21">
        <f>OFFSET(Sales!E21,1,0)</f>
        <v/>
      </c>
      <c r="H21">
        <f>IF(AND(Sales!D21*Sales!E21&gt;5000, INDEX(Products!C:C, MATCH(Sales!C21, Products!A:A, 0))="Electronics"),"High Value","Normal")</f>
        <v/>
      </c>
    </row>
    <row r="22">
      <c r="A22">
        <f>Sales!A22</f>
        <v/>
      </c>
      <c r="B22">
        <f>VLOOKUP(Sales!C22,Products!A:E,2,FALSE)</f>
        <v/>
      </c>
      <c r="C22">
        <f>INDEX(Products!C:C, MATCH(Sales!C22, Products!A:A, 0))</f>
        <v/>
      </c>
      <c r="D22">
        <f>XLOOKUP(Sales!C22, Products!A:A, Products!D:D)</f>
        <v/>
      </c>
      <c r="E22">
        <f>Sales!D22*Sales!E22</f>
        <v/>
      </c>
      <c r="F22">
        <f>MATCH(Sales!C22, Products!A:A, 0)</f>
        <v/>
      </c>
      <c r="G22">
        <f>OFFSET(Sales!E22,1,0)</f>
        <v/>
      </c>
      <c r="H22">
        <f>IF(AND(Sales!D22*Sales!E22&gt;5000, INDEX(Products!C:C, MATCH(Sales!C22, Products!A:A, 0))="Electronics"),"High Value","Normal")</f>
        <v/>
      </c>
    </row>
    <row r="23">
      <c r="A23">
        <f>Sales!A23</f>
        <v/>
      </c>
      <c r="B23">
        <f>VLOOKUP(Sales!C23,Products!A:E,2,FALSE)</f>
        <v/>
      </c>
      <c r="C23">
        <f>INDEX(Products!C:C, MATCH(Sales!C23, Products!A:A, 0))</f>
        <v/>
      </c>
      <c r="D23">
        <f>XLOOKUP(Sales!C23, Products!A:A, Products!D:D)</f>
        <v/>
      </c>
      <c r="E23">
        <f>Sales!D23*Sales!E23</f>
        <v/>
      </c>
      <c r="F23">
        <f>MATCH(Sales!C23, Products!A:A, 0)</f>
        <v/>
      </c>
      <c r="G23">
        <f>OFFSET(Sales!E23,1,0)</f>
        <v/>
      </c>
      <c r="H23">
        <f>IF(AND(Sales!D23*Sales!E23&gt;5000, INDEX(Products!C:C, MATCH(Sales!C23, Products!A:A, 0))="Electronics"),"High Value","Normal")</f>
        <v/>
      </c>
    </row>
    <row r="24">
      <c r="A24">
        <f>Sales!A24</f>
        <v/>
      </c>
      <c r="B24">
        <f>VLOOKUP(Sales!C24,Products!A:E,2,FALSE)</f>
        <v/>
      </c>
      <c r="C24">
        <f>INDEX(Products!C:C, MATCH(Sales!C24, Products!A:A, 0))</f>
        <v/>
      </c>
      <c r="D24">
        <f>XLOOKUP(Sales!C24, Products!A:A, Products!D:D)</f>
        <v/>
      </c>
      <c r="E24">
        <f>Sales!D24*Sales!E24</f>
        <v/>
      </c>
      <c r="F24">
        <f>MATCH(Sales!C24, Products!A:A, 0)</f>
        <v/>
      </c>
      <c r="G24">
        <f>OFFSET(Sales!E24,1,0)</f>
        <v/>
      </c>
      <c r="H24">
        <f>IF(AND(Sales!D24*Sales!E24&gt;5000, INDEX(Products!C:C, MATCH(Sales!C24, Products!A:A, 0))="Electronics"),"High Value","Normal")</f>
        <v/>
      </c>
    </row>
    <row r="25">
      <c r="A25">
        <f>Sales!A25</f>
        <v/>
      </c>
      <c r="B25">
        <f>VLOOKUP(Sales!C25,Products!A:E,2,FALSE)</f>
        <v/>
      </c>
      <c r="C25">
        <f>INDEX(Products!C:C, MATCH(Sales!C25, Products!A:A, 0))</f>
        <v/>
      </c>
      <c r="D25">
        <f>XLOOKUP(Sales!C25, Products!A:A, Products!D:D)</f>
        <v/>
      </c>
      <c r="E25">
        <f>Sales!D25*Sales!E25</f>
        <v/>
      </c>
      <c r="F25">
        <f>MATCH(Sales!C25, Products!A:A, 0)</f>
        <v/>
      </c>
      <c r="G25">
        <f>OFFSET(Sales!E25,1,0)</f>
        <v/>
      </c>
      <c r="H25">
        <f>IF(AND(Sales!D25*Sales!E25&gt;5000, INDEX(Products!C:C, MATCH(Sales!C25, Products!A:A, 0))="Electronics"),"High Value","Normal")</f>
        <v/>
      </c>
    </row>
    <row r="26">
      <c r="A26">
        <f>Sales!A26</f>
        <v/>
      </c>
      <c r="B26">
        <f>VLOOKUP(Sales!C26,Products!A:E,2,FALSE)</f>
        <v/>
      </c>
      <c r="C26">
        <f>INDEX(Products!C:C, MATCH(Sales!C26, Products!A:A, 0))</f>
        <v/>
      </c>
      <c r="D26">
        <f>XLOOKUP(Sales!C26, Products!A:A, Products!D:D)</f>
        <v/>
      </c>
      <c r="E26">
        <f>Sales!D26*Sales!E26</f>
        <v/>
      </c>
      <c r="F26">
        <f>MATCH(Sales!C26, Products!A:A, 0)</f>
        <v/>
      </c>
      <c r="G26">
        <f>OFFSET(Sales!E26,1,0)</f>
        <v/>
      </c>
      <c r="H26">
        <f>IF(AND(Sales!D26*Sales!E26&gt;5000, INDEX(Products!C:C, MATCH(Sales!C26, Products!A:A, 0))="Electronics"),"High Value","Normal")</f>
        <v/>
      </c>
    </row>
    <row r="27">
      <c r="A27">
        <f>Sales!A27</f>
        <v/>
      </c>
      <c r="B27">
        <f>VLOOKUP(Sales!C27,Products!A:E,2,FALSE)</f>
        <v/>
      </c>
      <c r="C27">
        <f>INDEX(Products!C:C, MATCH(Sales!C27, Products!A:A, 0))</f>
        <v/>
      </c>
      <c r="D27">
        <f>XLOOKUP(Sales!C27, Products!A:A, Products!D:D)</f>
        <v/>
      </c>
      <c r="E27">
        <f>Sales!D27*Sales!E27</f>
        <v/>
      </c>
      <c r="F27">
        <f>MATCH(Sales!C27, Products!A:A, 0)</f>
        <v/>
      </c>
      <c r="G27">
        <f>OFFSET(Sales!E27,1,0)</f>
        <v/>
      </c>
      <c r="H27">
        <f>IF(AND(Sales!D27*Sales!E27&gt;5000, INDEX(Products!C:C, MATCH(Sales!C27, Products!A:A, 0))="Electronics"),"High Value","Normal")</f>
        <v/>
      </c>
    </row>
    <row r="28">
      <c r="A28">
        <f>Sales!A28</f>
        <v/>
      </c>
      <c r="B28">
        <f>VLOOKUP(Sales!C28,Products!A:E,2,FALSE)</f>
        <v/>
      </c>
      <c r="C28">
        <f>INDEX(Products!C:C, MATCH(Sales!C28, Products!A:A, 0))</f>
        <v/>
      </c>
      <c r="D28">
        <f>XLOOKUP(Sales!C28, Products!A:A, Products!D:D)</f>
        <v/>
      </c>
      <c r="E28">
        <f>Sales!D28*Sales!E28</f>
        <v/>
      </c>
      <c r="F28">
        <f>MATCH(Sales!C28, Products!A:A, 0)</f>
        <v/>
      </c>
      <c r="G28">
        <f>OFFSET(Sales!E28,1,0)</f>
        <v/>
      </c>
      <c r="H28">
        <f>IF(AND(Sales!D28*Sales!E28&gt;5000, INDEX(Products!C:C, MATCH(Sales!C28, Products!A:A, 0))="Electronics"),"High Value","Normal")</f>
        <v/>
      </c>
    </row>
    <row r="29">
      <c r="A29">
        <f>Sales!A29</f>
        <v/>
      </c>
      <c r="B29">
        <f>VLOOKUP(Sales!C29,Products!A:E,2,FALSE)</f>
        <v/>
      </c>
      <c r="C29">
        <f>INDEX(Products!C:C, MATCH(Sales!C29, Products!A:A, 0))</f>
        <v/>
      </c>
      <c r="D29">
        <f>XLOOKUP(Sales!C29, Products!A:A, Products!D:D)</f>
        <v/>
      </c>
      <c r="E29">
        <f>Sales!D29*Sales!E29</f>
        <v/>
      </c>
      <c r="F29">
        <f>MATCH(Sales!C29, Products!A:A, 0)</f>
        <v/>
      </c>
      <c r="G29">
        <f>OFFSET(Sales!E29,1,0)</f>
        <v/>
      </c>
      <c r="H29">
        <f>IF(AND(Sales!D29*Sales!E29&gt;5000, INDEX(Products!C:C, MATCH(Sales!C29, Products!A:A, 0))="Electronics"),"High Value","Normal")</f>
        <v/>
      </c>
    </row>
    <row r="30">
      <c r="A30">
        <f>Sales!A30</f>
        <v/>
      </c>
      <c r="B30">
        <f>VLOOKUP(Sales!C30,Products!A:E,2,FALSE)</f>
        <v/>
      </c>
      <c r="C30">
        <f>INDEX(Products!C:C, MATCH(Sales!C30, Products!A:A, 0))</f>
        <v/>
      </c>
      <c r="D30">
        <f>XLOOKUP(Sales!C30, Products!A:A, Products!D:D)</f>
        <v/>
      </c>
      <c r="E30">
        <f>Sales!D30*Sales!E30</f>
        <v/>
      </c>
      <c r="F30">
        <f>MATCH(Sales!C30, Products!A:A, 0)</f>
        <v/>
      </c>
      <c r="G30">
        <f>OFFSET(Sales!E30,1,0)</f>
        <v/>
      </c>
      <c r="H30">
        <f>IF(AND(Sales!D30*Sales!E30&gt;5000, INDEX(Products!C:C, MATCH(Sales!C30, Products!A:A, 0))="Electronics"),"High Value","Normal")</f>
        <v/>
      </c>
    </row>
    <row r="31">
      <c r="A31">
        <f>Sales!A31</f>
        <v/>
      </c>
      <c r="B31">
        <f>VLOOKUP(Sales!C31,Products!A:E,2,FALSE)</f>
        <v/>
      </c>
      <c r="C31">
        <f>INDEX(Products!C:C, MATCH(Sales!C31, Products!A:A, 0))</f>
        <v/>
      </c>
      <c r="D31">
        <f>XLOOKUP(Sales!C31, Products!A:A, Products!D:D)</f>
        <v/>
      </c>
      <c r="E31">
        <f>Sales!D31*Sales!E31</f>
        <v/>
      </c>
      <c r="F31">
        <f>MATCH(Sales!C31, Products!A:A, 0)</f>
        <v/>
      </c>
      <c r="G31">
        <f>OFFSET(Sales!E31,1,0)</f>
        <v/>
      </c>
      <c r="H31">
        <f>IF(AND(Sales!D31*Sales!E31&gt;5000, INDEX(Products!C:C, MATCH(Sales!C31, Products!A:A, 0))="Electronics"),"High Value","Normal")</f>
        <v/>
      </c>
    </row>
    <row r="32">
      <c r="A32">
        <f>Sales!A32</f>
        <v/>
      </c>
      <c r="B32">
        <f>VLOOKUP(Sales!C32,Products!A:E,2,FALSE)</f>
        <v/>
      </c>
      <c r="C32">
        <f>INDEX(Products!C:C, MATCH(Sales!C32, Products!A:A, 0))</f>
        <v/>
      </c>
      <c r="D32">
        <f>XLOOKUP(Sales!C32, Products!A:A, Products!D:D)</f>
        <v/>
      </c>
      <c r="E32">
        <f>Sales!D32*Sales!E32</f>
        <v/>
      </c>
      <c r="F32">
        <f>MATCH(Sales!C32, Products!A:A, 0)</f>
        <v/>
      </c>
      <c r="G32">
        <f>OFFSET(Sales!E32,1,0)</f>
        <v/>
      </c>
      <c r="H32">
        <f>IF(AND(Sales!D32*Sales!E32&gt;5000, INDEX(Products!C:C, MATCH(Sales!C32, Products!A:A, 0))="Electronics"),"High Value","Normal")</f>
        <v/>
      </c>
    </row>
    <row r="33">
      <c r="A33">
        <f>Sales!A33</f>
        <v/>
      </c>
      <c r="B33">
        <f>VLOOKUP(Sales!C33,Products!A:E,2,FALSE)</f>
        <v/>
      </c>
      <c r="C33">
        <f>INDEX(Products!C:C, MATCH(Sales!C33, Products!A:A, 0))</f>
        <v/>
      </c>
      <c r="D33">
        <f>XLOOKUP(Sales!C33, Products!A:A, Products!D:D)</f>
        <v/>
      </c>
      <c r="E33">
        <f>Sales!D33*Sales!E33</f>
        <v/>
      </c>
      <c r="F33">
        <f>MATCH(Sales!C33, Products!A:A, 0)</f>
        <v/>
      </c>
      <c r="G33">
        <f>OFFSET(Sales!E33,1,0)</f>
        <v/>
      </c>
      <c r="H33">
        <f>IF(AND(Sales!D33*Sales!E33&gt;5000, INDEX(Products!C:C, MATCH(Sales!C33, Products!A:A, 0))="Electronics"),"High Value","Normal")</f>
        <v/>
      </c>
    </row>
    <row r="34">
      <c r="A34">
        <f>Sales!A34</f>
        <v/>
      </c>
      <c r="B34">
        <f>VLOOKUP(Sales!C34,Products!A:E,2,FALSE)</f>
        <v/>
      </c>
      <c r="C34">
        <f>INDEX(Products!C:C, MATCH(Sales!C34, Products!A:A, 0))</f>
        <v/>
      </c>
      <c r="D34">
        <f>XLOOKUP(Sales!C34, Products!A:A, Products!D:D)</f>
        <v/>
      </c>
      <c r="E34">
        <f>Sales!D34*Sales!E34</f>
        <v/>
      </c>
      <c r="F34">
        <f>MATCH(Sales!C34, Products!A:A, 0)</f>
        <v/>
      </c>
      <c r="G34">
        <f>OFFSET(Sales!E34,1,0)</f>
        <v/>
      </c>
      <c r="H34">
        <f>IF(AND(Sales!D34*Sales!E34&gt;5000, INDEX(Products!C:C, MATCH(Sales!C34, Products!A:A, 0))="Electronics"),"High Value","Normal")</f>
        <v/>
      </c>
    </row>
    <row r="35">
      <c r="A35">
        <f>Sales!A35</f>
        <v/>
      </c>
      <c r="B35">
        <f>VLOOKUP(Sales!C35,Products!A:E,2,FALSE)</f>
        <v/>
      </c>
      <c r="C35">
        <f>INDEX(Products!C:C, MATCH(Sales!C35, Products!A:A, 0))</f>
        <v/>
      </c>
      <c r="D35">
        <f>XLOOKUP(Sales!C35, Products!A:A, Products!D:D)</f>
        <v/>
      </c>
      <c r="E35">
        <f>Sales!D35*Sales!E35</f>
        <v/>
      </c>
      <c r="F35">
        <f>MATCH(Sales!C35, Products!A:A, 0)</f>
        <v/>
      </c>
      <c r="G35">
        <f>OFFSET(Sales!E35,1,0)</f>
        <v/>
      </c>
      <c r="H35">
        <f>IF(AND(Sales!D35*Sales!E35&gt;5000, INDEX(Products!C:C, MATCH(Sales!C35, Products!A:A, 0))="Electronics"),"High Value","Normal")</f>
        <v/>
      </c>
    </row>
    <row r="36">
      <c r="A36">
        <f>Sales!A36</f>
        <v/>
      </c>
      <c r="B36">
        <f>VLOOKUP(Sales!C36,Products!A:E,2,FALSE)</f>
        <v/>
      </c>
      <c r="C36">
        <f>INDEX(Products!C:C, MATCH(Sales!C36, Products!A:A, 0))</f>
        <v/>
      </c>
      <c r="D36">
        <f>XLOOKUP(Sales!C36, Products!A:A, Products!D:D)</f>
        <v/>
      </c>
      <c r="E36">
        <f>Sales!D36*Sales!E36</f>
        <v/>
      </c>
      <c r="F36">
        <f>MATCH(Sales!C36, Products!A:A, 0)</f>
        <v/>
      </c>
      <c r="G36">
        <f>OFFSET(Sales!E36,1,0)</f>
        <v/>
      </c>
      <c r="H36">
        <f>IF(AND(Sales!D36*Sales!E36&gt;5000, INDEX(Products!C:C, MATCH(Sales!C36, Products!A:A, 0))="Electronics"),"High Value","Normal")</f>
        <v/>
      </c>
    </row>
    <row r="37">
      <c r="A37">
        <f>Sales!A37</f>
        <v/>
      </c>
      <c r="B37">
        <f>VLOOKUP(Sales!C37,Products!A:E,2,FALSE)</f>
        <v/>
      </c>
      <c r="C37">
        <f>INDEX(Products!C:C, MATCH(Sales!C37, Products!A:A, 0))</f>
        <v/>
      </c>
      <c r="D37">
        <f>XLOOKUP(Sales!C37, Products!A:A, Products!D:D)</f>
        <v/>
      </c>
      <c r="E37">
        <f>Sales!D37*Sales!E37</f>
        <v/>
      </c>
      <c r="F37">
        <f>MATCH(Sales!C37, Products!A:A, 0)</f>
        <v/>
      </c>
      <c r="G37">
        <f>OFFSET(Sales!E37,1,0)</f>
        <v/>
      </c>
      <c r="H37">
        <f>IF(AND(Sales!D37*Sales!E37&gt;5000, INDEX(Products!C:C, MATCH(Sales!C37, Products!A:A, 0))="Electronics"),"High Value","Normal")</f>
        <v/>
      </c>
    </row>
    <row r="38">
      <c r="A38">
        <f>Sales!A38</f>
        <v/>
      </c>
      <c r="B38">
        <f>VLOOKUP(Sales!C38,Products!A:E,2,FALSE)</f>
        <v/>
      </c>
      <c r="C38">
        <f>INDEX(Products!C:C, MATCH(Sales!C38, Products!A:A, 0))</f>
        <v/>
      </c>
      <c r="D38">
        <f>XLOOKUP(Sales!C38, Products!A:A, Products!D:D)</f>
        <v/>
      </c>
      <c r="E38">
        <f>Sales!D38*Sales!E38</f>
        <v/>
      </c>
      <c r="F38">
        <f>MATCH(Sales!C38, Products!A:A, 0)</f>
        <v/>
      </c>
      <c r="G38">
        <f>OFFSET(Sales!E38,1,0)</f>
        <v/>
      </c>
      <c r="H38">
        <f>IF(AND(Sales!D38*Sales!E38&gt;5000, INDEX(Products!C:C, MATCH(Sales!C38, Products!A:A, 0))="Electronics"),"High Value","Normal")</f>
        <v/>
      </c>
    </row>
    <row r="39">
      <c r="A39">
        <f>Sales!A39</f>
        <v/>
      </c>
      <c r="B39">
        <f>VLOOKUP(Sales!C39,Products!A:E,2,FALSE)</f>
        <v/>
      </c>
      <c r="C39">
        <f>INDEX(Products!C:C, MATCH(Sales!C39, Products!A:A, 0))</f>
        <v/>
      </c>
      <c r="D39">
        <f>XLOOKUP(Sales!C39, Products!A:A, Products!D:D)</f>
        <v/>
      </c>
      <c r="E39">
        <f>Sales!D39*Sales!E39</f>
        <v/>
      </c>
      <c r="F39">
        <f>MATCH(Sales!C39, Products!A:A, 0)</f>
        <v/>
      </c>
      <c r="G39">
        <f>OFFSET(Sales!E39,1,0)</f>
        <v/>
      </c>
      <c r="H39">
        <f>IF(AND(Sales!D39*Sales!E39&gt;5000, INDEX(Products!C:C, MATCH(Sales!C39, Products!A:A, 0))="Electronics"),"High Value","Normal")</f>
        <v/>
      </c>
    </row>
    <row r="40">
      <c r="A40">
        <f>Sales!A40</f>
        <v/>
      </c>
      <c r="B40">
        <f>VLOOKUP(Sales!C40,Products!A:E,2,FALSE)</f>
        <v/>
      </c>
      <c r="C40">
        <f>INDEX(Products!C:C, MATCH(Sales!C40, Products!A:A, 0))</f>
        <v/>
      </c>
      <c r="D40">
        <f>XLOOKUP(Sales!C40, Products!A:A, Products!D:D)</f>
        <v/>
      </c>
      <c r="E40">
        <f>Sales!D40*Sales!E40</f>
        <v/>
      </c>
      <c r="F40">
        <f>MATCH(Sales!C40, Products!A:A, 0)</f>
        <v/>
      </c>
      <c r="G40">
        <f>OFFSET(Sales!E40,1,0)</f>
        <v/>
      </c>
      <c r="H40">
        <f>IF(AND(Sales!D40*Sales!E40&gt;5000, INDEX(Products!C:C, MATCH(Sales!C40, Products!A:A, 0))="Electronics"),"High Value","Normal")</f>
        <v/>
      </c>
    </row>
    <row r="41">
      <c r="A41">
        <f>Sales!A41</f>
        <v/>
      </c>
      <c r="B41">
        <f>VLOOKUP(Sales!C41,Products!A:E,2,FALSE)</f>
        <v/>
      </c>
      <c r="C41">
        <f>INDEX(Products!C:C, MATCH(Sales!C41, Products!A:A, 0))</f>
        <v/>
      </c>
      <c r="D41">
        <f>XLOOKUP(Sales!C41, Products!A:A, Products!D:D)</f>
        <v/>
      </c>
      <c r="E41">
        <f>Sales!D41*Sales!E41</f>
        <v/>
      </c>
      <c r="F41">
        <f>MATCH(Sales!C41, Products!A:A, 0)</f>
        <v/>
      </c>
      <c r="G41">
        <f>OFFSET(Sales!E41,1,0)</f>
        <v/>
      </c>
      <c r="H41">
        <f>IF(AND(Sales!D41*Sales!E41&gt;5000, INDEX(Products!C:C, MATCH(Sales!C41, Products!A:A, 0))="Electronics"),"High Value","Normal")</f>
        <v/>
      </c>
    </row>
    <row r="42">
      <c r="A42">
        <f>Sales!A42</f>
        <v/>
      </c>
      <c r="B42">
        <f>VLOOKUP(Sales!C42,Products!A:E,2,FALSE)</f>
        <v/>
      </c>
      <c r="C42">
        <f>INDEX(Products!C:C, MATCH(Sales!C42, Products!A:A, 0))</f>
        <v/>
      </c>
      <c r="D42">
        <f>XLOOKUP(Sales!C42, Products!A:A, Products!D:D)</f>
        <v/>
      </c>
      <c r="E42">
        <f>Sales!D42*Sales!E42</f>
        <v/>
      </c>
      <c r="F42">
        <f>MATCH(Sales!C42, Products!A:A, 0)</f>
        <v/>
      </c>
      <c r="G42">
        <f>OFFSET(Sales!E42,1,0)</f>
        <v/>
      </c>
      <c r="H42">
        <f>IF(AND(Sales!D42*Sales!E42&gt;5000, INDEX(Products!C:C, MATCH(Sales!C42, Products!A:A, 0))="Electronics"),"High Value","Normal")</f>
        <v/>
      </c>
    </row>
    <row r="43">
      <c r="A43">
        <f>Sales!A43</f>
        <v/>
      </c>
      <c r="B43">
        <f>VLOOKUP(Sales!C43,Products!A:E,2,FALSE)</f>
        <v/>
      </c>
      <c r="C43">
        <f>INDEX(Products!C:C, MATCH(Sales!C43, Products!A:A, 0))</f>
        <v/>
      </c>
      <c r="D43">
        <f>XLOOKUP(Sales!C43, Products!A:A, Products!D:D)</f>
        <v/>
      </c>
      <c r="E43">
        <f>Sales!D43*Sales!E43</f>
        <v/>
      </c>
      <c r="F43">
        <f>MATCH(Sales!C43, Products!A:A, 0)</f>
        <v/>
      </c>
      <c r="G43">
        <f>OFFSET(Sales!E43,1,0)</f>
        <v/>
      </c>
      <c r="H43">
        <f>IF(AND(Sales!D43*Sales!E43&gt;5000, INDEX(Products!C:C, MATCH(Sales!C43, Products!A:A, 0))="Electronics"),"High Value","Normal")</f>
        <v/>
      </c>
    </row>
    <row r="44">
      <c r="A44">
        <f>Sales!A44</f>
        <v/>
      </c>
      <c r="B44">
        <f>VLOOKUP(Sales!C44,Products!A:E,2,FALSE)</f>
        <v/>
      </c>
      <c r="C44">
        <f>INDEX(Products!C:C, MATCH(Sales!C44, Products!A:A, 0))</f>
        <v/>
      </c>
      <c r="D44">
        <f>XLOOKUP(Sales!C44, Products!A:A, Products!D:D)</f>
        <v/>
      </c>
      <c r="E44">
        <f>Sales!D44*Sales!E44</f>
        <v/>
      </c>
      <c r="F44">
        <f>MATCH(Sales!C44, Products!A:A, 0)</f>
        <v/>
      </c>
      <c r="G44">
        <f>OFFSET(Sales!E44,1,0)</f>
        <v/>
      </c>
      <c r="H44">
        <f>IF(AND(Sales!D44*Sales!E44&gt;5000, INDEX(Products!C:C, MATCH(Sales!C44, Products!A:A, 0))="Electronics"),"High Value","Normal")</f>
        <v/>
      </c>
    </row>
    <row r="45">
      <c r="A45">
        <f>Sales!A45</f>
        <v/>
      </c>
      <c r="B45">
        <f>VLOOKUP(Sales!C45,Products!A:E,2,FALSE)</f>
        <v/>
      </c>
      <c r="C45">
        <f>INDEX(Products!C:C, MATCH(Sales!C45, Products!A:A, 0))</f>
        <v/>
      </c>
      <c r="D45">
        <f>XLOOKUP(Sales!C45, Products!A:A, Products!D:D)</f>
        <v/>
      </c>
      <c r="E45">
        <f>Sales!D45*Sales!E45</f>
        <v/>
      </c>
      <c r="F45">
        <f>MATCH(Sales!C45, Products!A:A, 0)</f>
        <v/>
      </c>
      <c r="G45">
        <f>OFFSET(Sales!E45,1,0)</f>
        <v/>
      </c>
      <c r="H45">
        <f>IF(AND(Sales!D45*Sales!E45&gt;5000, INDEX(Products!C:C, MATCH(Sales!C45, Products!A:A, 0))="Electronics"),"High Value","Normal")</f>
        <v/>
      </c>
    </row>
    <row r="46">
      <c r="A46">
        <f>Sales!A46</f>
        <v/>
      </c>
      <c r="B46">
        <f>VLOOKUP(Sales!C46,Products!A:E,2,FALSE)</f>
        <v/>
      </c>
      <c r="C46">
        <f>INDEX(Products!C:C, MATCH(Sales!C46, Products!A:A, 0))</f>
        <v/>
      </c>
      <c r="D46">
        <f>XLOOKUP(Sales!C46, Products!A:A, Products!D:D)</f>
        <v/>
      </c>
      <c r="E46">
        <f>Sales!D46*Sales!E46</f>
        <v/>
      </c>
      <c r="F46">
        <f>MATCH(Sales!C46, Products!A:A, 0)</f>
        <v/>
      </c>
      <c r="G46">
        <f>OFFSET(Sales!E46,1,0)</f>
        <v/>
      </c>
      <c r="H46">
        <f>IF(AND(Sales!D46*Sales!E46&gt;5000, INDEX(Products!C:C, MATCH(Sales!C46, Products!A:A, 0))="Electronics"),"High Value","Normal")</f>
        <v/>
      </c>
    </row>
    <row r="47">
      <c r="A47">
        <f>Sales!A47</f>
        <v/>
      </c>
      <c r="B47">
        <f>VLOOKUP(Sales!C47,Products!A:E,2,FALSE)</f>
        <v/>
      </c>
      <c r="C47">
        <f>INDEX(Products!C:C, MATCH(Sales!C47, Products!A:A, 0))</f>
        <v/>
      </c>
      <c r="D47">
        <f>XLOOKUP(Sales!C47, Products!A:A, Products!D:D)</f>
        <v/>
      </c>
      <c r="E47">
        <f>Sales!D47*Sales!E47</f>
        <v/>
      </c>
      <c r="F47">
        <f>MATCH(Sales!C47, Products!A:A, 0)</f>
        <v/>
      </c>
      <c r="G47">
        <f>OFFSET(Sales!E47,1,0)</f>
        <v/>
      </c>
      <c r="H47">
        <f>IF(AND(Sales!D47*Sales!E47&gt;5000, INDEX(Products!C:C, MATCH(Sales!C47, Products!A:A, 0))="Electronics"),"High Value","Normal")</f>
        <v/>
      </c>
    </row>
    <row r="48">
      <c r="A48">
        <f>Sales!A48</f>
        <v/>
      </c>
      <c r="B48">
        <f>VLOOKUP(Sales!C48,Products!A:E,2,FALSE)</f>
        <v/>
      </c>
      <c r="C48">
        <f>INDEX(Products!C:C, MATCH(Sales!C48, Products!A:A, 0))</f>
        <v/>
      </c>
      <c r="D48">
        <f>XLOOKUP(Sales!C48, Products!A:A, Products!D:D)</f>
        <v/>
      </c>
      <c r="E48">
        <f>Sales!D48*Sales!E48</f>
        <v/>
      </c>
      <c r="F48">
        <f>MATCH(Sales!C48, Products!A:A, 0)</f>
        <v/>
      </c>
      <c r="G48">
        <f>OFFSET(Sales!E48,1,0)</f>
        <v/>
      </c>
      <c r="H48">
        <f>IF(AND(Sales!D48*Sales!E48&gt;5000, INDEX(Products!C:C, MATCH(Sales!C48, Products!A:A, 0))="Electronics"),"High Value","Normal")</f>
        <v/>
      </c>
    </row>
    <row r="49">
      <c r="A49">
        <f>Sales!A49</f>
        <v/>
      </c>
      <c r="B49">
        <f>VLOOKUP(Sales!C49,Products!A:E,2,FALSE)</f>
        <v/>
      </c>
      <c r="C49">
        <f>INDEX(Products!C:C, MATCH(Sales!C49, Products!A:A, 0))</f>
        <v/>
      </c>
      <c r="D49">
        <f>XLOOKUP(Sales!C49, Products!A:A, Products!D:D)</f>
        <v/>
      </c>
      <c r="E49">
        <f>Sales!D49*Sales!E49</f>
        <v/>
      </c>
      <c r="F49">
        <f>MATCH(Sales!C49, Products!A:A, 0)</f>
        <v/>
      </c>
      <c r="G49">
        <f>OFFSET(Sales!E49,1,0)</f>
        <v/>
      </c>
      <c r="H49">
        <f>IF(AND(Sales!D49*Sales!E49&gt;5000, INDEX(Products!C:C, MATCH(Sales!C49, Products!A:A, 0))="Electronics"),"High Value","Normal")</f>
        <v/>
      </c>
    </row>
    <row r="50">
      <c r="A50">
        <f>Sales!A50</f>
        <v/>
      </c>
      <c r="B50">
        <f>VLOOKUP(Sales!C50,Products!A:E,2,FALSE)</f>
        <v/>
      </c>
      <c r="C50">
        <f>INDEX(Products!C:C, MATCH(Sales!C50, Products!A:A, 0))</f>
        <v/>
      </c>
      <c r="D50">
        <f>XLOOKUP(Sales!C50, Products!A:A, Products!D:D)</f>
        <v/>
      </c>
      <c r="E50">
        <f>Sales!D50*Sales!E50</f>
        <v/>
      </c>
      <c r="F50">
        <f>MATCH(Sales!C50, Products!A:A, 0)</f>
        <v/>
      </c>
      <c r="G50">
        <f>OFFSET(Sales!E50,1,0)</f>
        <v/>
      </c>
      <c r="H50">
        <f>IF(AND(Sales!D50*Sales!E50&gt;5000, INDEX(Products!C:C, MATCH(Sales!C50, Products!A:A, 0))="Electronics"),"High Value","Normal")</f>
        <v/>
      </c>
    </row>
    <row r="51">
      <c r="A51">
        <f>Sales!A51</f>
        <v/>
      </c>
      <c r="B51">
        <f>VLOOKUP(Sales!C51,Products!A:E,2,FALSE)</f>
        <v/>
      </c>
      <c r="C51">
        <f>INDEX(Products!C:C, MATCH(Sales!C51, Products!A:A, 0))</f>
        <v/>
      </c>
      <c r="D51">
        <f>XLOOKUP(Sales!C51, Products!A:A, Products!D:D)</f>
        <v/>
      </c>
      <c r="E51">
        <f>Sales!D51*Sales!E51</f>
        <v/>
      </c>
      <c r="F51">
        <f>MATCH(Sales!C51, Products!A:A, 0)</f>
        <v/>
      </c>
      <c r="G51">
        <f>OFFSET(Sales!E51,1,0)</f>
        <v/>
      </c>
      <c r="H51">
        <f>IF(AND(Sales!D51*Sales!E51&gt;5000, INDEX(Products!C:C, MATCH(Sales!C51, Products!A:A, 0))="Electronics"),"High Value","Normal")</f>
        <v/>
      </c>
    </row>
    <row r="52">
      <c r="A52">
        <f>Sales!A52</f>
        <v/>
      </c>
      <c r="B52">
        <f>VLOOKUP(Sales!C52,Products!A:E,2,FALSE)</f>
        <v/>
      </c>
      <c r="C52">
        <f>INDEX(Products!C:C, MATCH(Sales!C52, Products!A:A, 0))</f>
        <v/>
      </c>
      <c r="D52">
        <f>XLOOKUP(Sales!C52, Products!A:A, Products!D:D)</f>
        <v/>
      </c>
      <c r="E52">
        <f>Sales!D52*Sales!E52</f>
        <v/>
      </c>
      <c r="F52">
        <f>MATCH(Sales!C52, Products!A:A, 0)</f>
        <v/>
      </c>
      <c r="G52">
        <f>OFFSET(Sales!E52,1,0)</f>
        <v/>
      </c>
      <c r="H52">
        <f>IF(AND(Sales!D52*Sales!E52&gt;5000, INDEX(Products!C:C, MATCH(Sales!C52, Products!A:A, 0))="Electronics"),"High Value","Normal")</f>
        <v/>
      </c>
    </row>
    <row r="53">
      <c r="A53">
        <f>Sales!A53</f>
        <v/>
      </c>
      <c r="B53">
        <f>VLOOKUP(Sales!C53,Products!A:E,2,FALSE)</f>
        <v/>
      </c>
      <c r="C53">
        <f>INDEX(Products!C:C, MATCH(Sales!C53, Products!A:A, 0))</f>
        <v/>
      </c>
      <c r="D53">
        <f>XLOOKUP(Sales!C53, Products!A:A, Products!D:D)</f>
        <v/>
      </c>
      <c r="E53">
        <f>Sales!D53*Sales!E53</f>
        <v/>
      </c>
      <c r="F53">
        <f>MATCH(Sales!C53, Products!A:A, 0)</f>
        <v/>
      </c>
      <c r="G53">
        <f>OFFSET(Sales!E53,1,0)</f>
        <v/>
      </c>
      <c r="H53">
        <f>IF(AND(Sales!D53*Sales!E53&gt;5000, INDEX(Products!C:C, MATCH(Sales!C53, Products!A:A, 0))="Electronics"),"High Value","Normal")</f>
        <v/>
      </c>
    </row>
    <row r="54">
      <c r="A54">
        <f>Sales!A54</f>
        <v/>
      </c>
      <c r="B54">
        <f>VLOOKUP(Sales!C54,Products!A:E,2,FALSE)</f>
        <v/>
      </c>
      <c r="C54">
        <f>INDEX(Products!C:C, MATCH(Sales!C54, Products!A:A, 0))</f>
        <v/>
      </c>
      <c r="D54">
        <f>XLOOKUP(Sales!C54, Products!A:A, Products!D:D)</f>
        <v/>
      </c>
      <c r="E54">
        <f>Sales!D54*Sales!E54</f>
        <v/>
      </c>
      <c r="F54">
        <f>MATCH(Sales!C54, Products!A:A, 0)</f>
        <v/>
      </c>
      <c r="G54">
        <f>OFFSET(Sales!E54,1,0)</f>
        <v/>
      </c>
      <c r="H54">
        <f>IF(AND(Sales!D54*Sales!E54&gt;5000, INDEX(Products!C:C, MATCH(Sales!C54, Products!A:A, 0))="Electronics"),"High Value","Normal")</f>
        <v/>
      </c>
    </row>
    <row r="55">
      <c r="A55">
        <f>Sales!A55</f>
        <v/>
      </c>
      <c r="B55">
        <f>VLOOKUP(Sales!C55,Products!A:E,2,FALSE)</f>
        <v/>
      </c>
      <c r="C55">
        <f>INDEX(Products!C:C, MATCH(Sales!C55, Products!A:A, 0))</f>
        <v/>
      </c>
      <c r="D55">
        <f>XLOOKUP(Sales!C55, Products!A:A, Products!D:D)</f>
        <v/>
      </c>
      <c r="E55">
        <f>Sales!D55*Sales!E55</f>
        <v/>
      </c>
      <c r="F55">
        <f>MATCH(Sales!C55, Products!A:A, 0)</f>
        <v/>
      </c>
      <c r="G55">
        <f>OFFSET(Sales!E55,1,0)</f>
        <v/>
      </c>
      <c r="H55">
        <f>IF(AND(Sales!D55*Sales!E55&gt;5000, INDEX(Products!C:C, MATCH(Sales!C55, Products!A:A, 0))="Electronics"),"High Value","Normal")</f>
        <v/>
      </c>
    </row>
    <row r="56">
      <c r="A56">
        <f>Sales!A56</f>
        <v/>
      </c>
      <c r="B56">
        <f>VLOOKUP(Sales!C56,Products!A:E,2,FALSE)</f>
        <v/>
      </c>
      <c r="C56">
        <f>INDEX(Products!C:C, MATCH(Sales!C56, Products!A:A, 0))</f>
        <v/>
      </c>
      <c r="D56">
        <f>XLOOKUP(Sales!C56, Products!A:A, Products!D:D)</f>
        <v/>
      </c>
      <c r="E56">
        <f>Sales!D56*Sales!E56</f>
        <v/>
      </c>
      <c r="F56">
        <f>MATCH(Sales!C56, Products!A:A, 0)</f>
        <v/>
      </c>
      <c r="G56">
        <f>OFFSET(Sales!E56,1,0)</f>
        <v/>
      </c>
      <c r="H56">
        <f>IF(AND(Sales!D56*Sales!E56&gt;5000, INDEX(Products!C:C, MATCH(Sales!C56, Products!A:A, 0))="Electronics"),"High Value","Normal")</f>
        <v/>
      </c>
    </row>
    <row r="57">
      <c r="A57">
        <f>Sales!A57</f>
        <v/>
      </c>
      <c r="B57">
        <f>VLOOKUP(Sales!C57,Products!A:E,2,FALSE)</f>
        <v/>
      </c>
      <c r="C57">
        <f>INDEX(Products!C:C, MATCH(Sales!C57, Products!A:A, 0))</f>
        <v/>
      </c>
      <c r="D57">
        <f>XLOOKUP(Sales!C57, Products!A:A, Products!D:D)</f>
        <v/>
      </c>
      <c r="E57">
        <f>Sales!D57*Sales!E57</f>
        <v/>
      </c>
      <c r="F57">
        <f>MATCH(Sales!C57, Products!A:A, 0)</f>
        <v/>
      </c>
      <c r="G57">
        <f>OFFSET(Sales!E57,1,0)</f>
        <v/>
      </c>
      <c r="H57">
        <f>IF(AND(Sales!D57*Sales!E57&gt;5000, INDEX(Products!C:C, MATCH(Sales!C57, Products!A:A, 0))="Electronics"),"High Value","Normal")</f>
        <v/>
      </c>
    </row>
    <row r="58">
      <c r="A58">
        <f>Sales!A58</f>
        <v/>
      </c>
      <c r="B58">
        <f>VLOOKUP(Sales!C58,Products!A:E,2,FALSE)</f>
        <v/>
      </c>
      <c r="C58">
        <f>INDEX(Products!C:C, MATCH(Sales!C58, Products!A:A, 0))</f>
        <v/>
      </c>
      <c r="D58">
        <f>XLOOKUP(Sales!C58, Products!A:A, Products!D:D)</f>
        <v/>
      </c>
      <c r="E58">
        <f>Sales!D58*Sales!E58</f>
        <v/>
      </c>
      <c r="F58">
        <f>MATCH(Sales!C58, Products!A:A, 0)</f>
        <v/>
      </c>
      <c r="G58">
        <f>OFFSET(Sales!E58,1,0)</f>
        <v/>
      </c>
      <c r="H58">
        <f>IF(AND(Sales!D58*Sales!E58&gt;5000, INDEX(Products!C:C, MATCH(Sales!C58, Products!A:A, 0))="Electronics"),"High Value","Normal")</f>
        <v/>
      </c>
    </row>
    <row r="59">
      <c r="A59">
        <f>Sales!A59</f>
        <v/>
      </c>
      <c r="B59">
        <f>VLOOKUP(Sales!C59,Products!A:E,2,FALSE)</f>
        <v/>
      </c>
      <c r="C59">
        <f>INDEX(Products!C:C, MATCH(Sales!C59, Products!A:A, 0))</f>
        <v/>
      </c>
      <c r="D59">
        <f>XLOOKUP(Sales!C59, Products!A:A, Products!D:D)</f>
        <v/>
      </c>
      <c r="E59">
        <f>Sales!D59*Sales!E59</f>
        <v/>
      </c>
      <c r="F59">
        <f>MATCH(Sales!C59, Products!A:A, 0)</f>
        <v/>
      </c>
      <c r="G59">
        <f>OFFSET(Sales!E59,1,0)</f>
        <v/>
      </c>
      <c r="H59">
        <f>IF(AND(Sales!D59*Sales!E59&gt;5000, INDEX(Products!C:C, MATCH(Sales!C59, Products!A:A, 0))="Electronics"),"High Value","Normal")</f>
        <v/>
      </c>
    </row>
    <row r="60">
      <c r="A60">
        <f>Sales!A60</f>
        <v/>
      </c>
      <c r="B60">
        <f>VLOOKUP(Sales!C60,Products!A:E,2,FALSE)</f>
        <v/>
      </c>
      <c r="C60">
        <f>INDEX(Products!C:C, MATCH(Sales!C60, Products!A:A, 0))</f>
        <v/>
      </c>
      <c r="D60">
        <f>XLOOKUP(Sales!C60, Products!A:A, Products!D:D)</f>
        <v/>
      </c>
      <c r="E60">
        <f>Sales!D60*Sales!E60</f>
        <v/>
      </c>
      <c r="F60">
        <f>MATCH(Sales!C60, Products!A:A, 0)</f>
        <v/>
      </c>
      <c r="G60">
        <f>OFFSET(Sales!E60,1,0)</f>
        <v/>
      </c>
      <c r="H60">
        <f>IF(AND(Sales!D60*Sales!E60&gt;5000, INDEX(Products!C:C, MATCH(Sales!C60, Products!A:A, 0))="Electronics"),"High Value","Normal")</f>
        <v/>
      </c>
    </row>
    <row r="61">
      <c r="A61">
        <f>Sales!A61</f>
        <v/>
      </c>
      <c r="B61">
        <f>VLOOKUP(Sales!C61,Products!A:E,2,FALSE)</f>
        <v/>
      </c>
      <c r="C61">
        <f>INDEX(Products!C:C, MATCH(Sales!C61, Products!A:A, 0))</f>
        <v/>
      </c>
      <c r="D61">
        <f>XLOOKUP(Sales!C61, Products!A:A, Products!D:D)</f>
        <v/>
      </c>
      <c r="E61">
        <f>Sales!D61*Sales!E61</f>
        <v/>
      </c>
      <c r="F61">
        <f>MATCH(Sales!C61, Products!A:A, 0)</f>
        <v/>
      </c>
      <c r="G61">
        <f>OFFSET(Sales!E61,1,0)</f>
        <v/>
      </c>
      <c r="H61">
        <f>IF(AND(Sales!D61*Sales!E61&gt;5000, INDEX(Products!C:C, MATCH(Sales!C61, Products!A:A, 0))="Electronics"),"High Value","Normal")</f>
        <v/>
      </c>
    </row>
    <row r="62">
      <c r="A62">
        <f>Sales!A62</f>
        <v/>
      </c>
      <c r="B62">
        <f>VLOOKUP(Sales!C62,Products!A:E,2,FALSE)</f>
        <v/>
      </c>
      <c r="C62">
        <f>INDEX(Products!C:C, MATCH(Sales!C62, Products!A:A, 0))</f>
        <v/>
      </c>
      <c r="D62">
        <f>XLOOKUP(Sales!C62, Products!A:A, Products!D:D)</f>
        <v/>
      </c>
      <c r="E62">
        <f>Sales!D62*Sales!E62</f>
        <v/>
      </c>
      <c r="F62">
        <f>MATCH(Sales!C62, Products!A:A, 0)</f>
        <v/>
      </c>
      <c r="G62">
        <f>OFFSET(Sales!E62,1,0)</f>
        <v/>
      </c>
      <c r="H62">
        <f>IF(AND(Sales!D62*Sales!E62&gt;5000, INDEX(Products!C:C, MATCH(Sales!C62, Products!A:A, 0))="Electronics"),"High Value","Normal")</f>
        <v/>
      </c>
    </row>
    <row r="63">
      <c r="A63">
        <f>Sales!A63</f>
        <v/>
      </c>
      <c r="B63">
        <f>VLOOKUP(Sales!C63,Products!A:E,2,FALSE)</f>
        <v/>
      </c>
      <c r="C63">
        <f>INDEX(Products!C:C, MATCH(Sales!C63, Products!A:A, 0))</f>
        <v/>
      </c>
      <c r="D63">
        <f>XLOOKUP(Sales!C63, Products!A:A, Products!D:D)</f>
        <v/>
      </c>
      <c r="E63">
        <f>Sales!D63*Sales!E63</f>
        <v/>
      </c>
      <c r="F63">
        <f>MATCH(Sales!C63, Products!A:A, 0)</f>
        <v/>
      </c>
      <c r="G63">
        <f>OFFSET(Sales!E63,1,0)</f>
        <v/>
      </c>
      <c r="H63">
        <f>IF(AND(Sales!D63*Sales!E63&gt;5000, INDEX(Products!C:C, MATCH(Sales!C63, Products!A:A, 0))="Electronics"),"High Value","Normal")</f>
        <v/>
      </c>
    </row>
    <row r="64">
      <c r="A64">
        <f>Sales!A64</f>
        <v/>
      </c>
      <c r="B64">
        <f>VLOOKUP(Sales!C64,Products!A:E,2,FALSE)</f>
        <v/>
      </c>
      <c r="C64">
        <f>INDEX(Products!C:C, MATCH(Sales!C64, Products!A:A, 0))</f>
        <v/>
      </c>
      <c r="D64">
        <f>XLOOKUP(Sales!C64, Products!A:A, Products!D:D)</f>
        <v/>
      </c>
      <c r="E64">
        <f>Sales!D64*Sales!E64</f>
        <v/>
      </c>
      <c r="F64">
        <f>MATCH(Sales!C64, Products!A:A, 0)</f>
        <v/>
      </c>
      <c r="G64">
        <f>OFFSET(Sales!E64,1,0)</f>
        <v/>
      </c>
      <c r="H64">
        <f>IF(AND(Sales!D64*Sales!E64&gt;5000, INDEX(Products!C:C, MATCH(Sales!C64, Products!A:A, 0))="Electronics"),"High Value","Normal")</f>
        <v/>
      </c>
    </row>
    <row r="65">
      <c r="A65">
        <f>Sales!A65</f>
        <v/>
      </c>
      <c r="B65">
        <f>VLOOKUP(Sales!C65,Products!A:E,2,FALSE)</f>
        <v/>
      </c>
      <c r="C65">
        <f>INDEX(Products!C:C, MATCH(Sales!C65, Products!A:A, 0))</f>
        <v/>
      </c>
      <c r="D65">
        <f>XLOOKUP(Sales!C65, Products!A:A, Products!D:D)</f>
        <v/>
      </c>
      <c r="E65">
        <f>Sales!D65*Sales!E65</f>
        <v/>
      </c>
      <c r="F65">
        <f>MATCH(Sales!C65, Products!A:A, 0)</f>
        <v/>
      </c>
      <c r="G65">
        <f>OFFSET(Sales!E65,1,0)</f>
        <v/>
      </c>
      <c r="H65">
        <f>IF(AND(Sales!D65*Sales!E65&gt;5000, INDEX(Products!C:C, MATCH(Sales!C65, Products!A:A, 0))="Electronics"),"High Value","Normal")</f>
        <v/>
      </c>
    </row>
    <row r="66">
      <c r="A66">
        <f>Sales!A66</f>
        <v/>
      </c>
      <c r="B66">
        <f>VLOOKUP(Sales!C66,Products!A:E,2,FALSE)</f>
        <v/>
      </c>
      <c r="C66">
        <f>INDEX(Products!C:C, MATCH(Sales!C66, Products!A:A, 0))</f>
        <v/>
      </c>
      <c r="D66">
        <f>XLOOKUP(Sales!C66, Products!A:A, Products!D:D)</f>
        <v/>
      </c>
      <c r="E66">
        <f>Sales!D66*Sales!E66</f>
        <v/>
      </c>
      <c r="F66">
        <f>MATCH(Sales!C66, Products!A:A, 0)</f>
        <v/>
      </c>
      <c r="G66">
        <f>OFFSET(Sales!E66,1,0)</f>
        <v/>
      </c>
      <c r="H66">
        <f>IF(AND(Sales!D66*Sales!E66&gt;5000, INDEX(Products!C:C, MATCH(Sales!C66, Products!A:A, 0))="Electronics"),"High Value","Normal")</f>
        <v/>
      </c>
    </row>
    <row r="67">
      <c r="A67">
        <f>Sales!A67</f>
        <v/>
      </c>
      <c r="B67">
        <f>VLOOKUP(Sales!C67,Products!A:E,2,FALSE)</f>
        <v/>
      </c>
      <c r="C67">
        <f>INDEX(Products!C:C, MATCH(Sales!C67, Products!A:A, 0))</f>
        <v/>
      </c>
      <c r="D67">
        <f>XLOOKUP(Sales!C67, Products!A:A, Products!D:D)</f>
        <v/>
      </c>
      <c r="E67">
        <f>Sales!D67*Sales!E67</f>
        <v/>
      </c>
      <c r="F67">
        <f>MATCH(Sales!C67, Products!A:A, 0)</f>
        <v/>
      </c>
      <c r="G67">
        <f>OFFSET(Sales!E67,1,0)</f>
        <v/>
      </c>
      <c r="H67">
        <f>IF(AND(Sales!D67*Sales!E67&gt;5000, INDEX(Products!C:C, MATCH(Sales!C67, Products!A:A, 0))="Electronics"),"High Value","Normal")</f>
        <v/>
      </c>
    </row>
    <row r="68">
      <c r="A68">
        <f>Sales!A68</f>
        <v/>
      </c>
      <c r="B68">
        <f>VLOOKUP(Sales!C68,Products!A:E,2,FALSE)</f>
        <v/>
      </c>
      <c r="C68">
        <f>INDEX(Products!C:C, MATCH(Sales!C68, Products!A:A, 0))</f>
        <v/>
      </c>
      <c r="D68">
        <f>XLOOKUP(Sales!C68, Products!A:A, Products!D:D)</f>
        <v/>
      </c>
      <c r="E68">
        <f>Sales!D68*Sales!E68</f>
        <v/>
      </c>
      <c r="F68">
        <f>MATCH(Sales!C68, Products!A:A, 0)</f>
        <v/>
      </c>
      <c r="G68">
        <f>OFFSET(Sales!E68,1,0)</f>
        <v/>
      </c>
      <c r="H68">
        <f>IF(AND(Sales!D68*Sales!E68&gt;5000, INDEX(Products!C:C, MATCH(Sales!C68, Products!A:A, 0))="Electronics"),"High Value","Normal")</f>
        <v/>
      </c>
    </row>
    <row r="69">
      <c r="A69">
        <f>Sales!A69</f>
        <v/>
      </c>
      <c r="B69">
        <f>VLOOKUP(Sales!C69,Products!A:E,2,FALSE)</f>
        <v/>
      </c>
      <c r="C69">
        <f>INDEX(Products!C:C, MATCH(Sales!C69, Products!A:A, 0))</f>
        <v/>
      </c>
      <c r="D69">
        <f>XLOOKUP(Sales!C69, Products!A:A, Products!D:D)</f>
        <v/>
      </c>
      <c r="E69">
        <f>Sales!D69*Sales!E69</f>
        <v/>
      </c>
      <c r="F69">
        <f>MATCH(Sales!C69, Products!A:A, 0)</f>
        <v/>
      </c>
      <c r="G69">
        <f>OFFSET(Sales!E69,1,0)</f>
        <v/>
      </c>
      <c r="H69">
        <f>IF(AND(Sales!D69*Sales!E69&gt;5000, INDEX(Products!C:C, MATCH(Sales!C69, Products!A:A, 0))="Electronics"),"High Value","Normal")</f>
        <v/>
      </c>
    </row>
    <row r="70">
      <c r="A70">
        <f>Sales!A70</f>
        <v/>
      </c>
      <c r="B70">
        <f>VLOOKUP(Sales!C70,Products!A:E,2,FALSE)</f>
        <v/>
      </c>
      <c r="C70">
        <f>INDEX(Products!C:C, MATCH(Sales!C70, Products!A:A, 0))</f>
        <v/>
      </c>
      <c r="D70">
        <f>XLOOKUP(Sales!C70, Products!A:A, Products!D:D)</f>
        <v/>
      </c>
      <c r="E70">
        <f>Sales!D70*Sales!E70</f>
        <v/>
      </c>
      <c r="F70">
        <f>MATCH(Sales!C70, Products!A:A, 0)</f>
        <v/>
      </c>
      <c r="G70">
        <f>OFFSET(Sales!E70,1,0)</f>
        <v/>
      </c>
      <c r="H70">
        <f>IF(AND(Sales!D70*Sales!E70&gt;5000, INDEX(Products!C:C, MATCH(Sales!C70, Products!A:A, 0))="Electronics"),"High Value","Normal")</f>
        <v/>
      </c>
    </row>
    <row r="71">
      <c r="A71">
        <f>Sales!A71</f>
        <v/>
      </c>
      <c r="B71">
        <f>VLOOKUP(Sales!C71,Products!A:E,2,FALSE)</f>
        <v/>
      </c>
      <c r="C71">
        <f>INDEX(Products!C:C, MATCH(Sales!C71, Products!A:A, 0))</f>
        <v/>
      </c>
      <c r="D71">
        <f>XLOOKUP(Sales!C71, Products!A:A, Products!D:D)</f>
        <v/>
      </c>
      <c r="E71">
        <f>Sales!D71*Sales!E71</f>
        <v/>
      </c>
      <c r="F71">
        <f>MATCH(Sales!C71, Products!A:A, 0)</f>
        <v/>
      </c>
      <c r="G71">
        <f>OFFSET(Sales!E71,1,0)</f>
        <v/>
      </c>
      <c r="H71">
        <f>IF(AND(Sales!D71*Sales!E71&gt;5000, INDEX(Products!C:C, MATCH(Sales!C71, Products!A:A, 0))="Electronics"),"High Value","Normal")</f>
        <v/>
      </c>
    </row>
    <row r="72">
      <c r="A72">
        <f>Sales!A72</f>
        <v/>
      </c>
      <c r="B72">
        <f>VLOOKUP(Sales!C72,Products!A:E,2,FALSE)</f>
        <v/>
      </c>
      <c r="C72">
        <f>INDEX(Products!C:C, MATCH(Sales!C72, Products!A:A, 0))</f>
        <v/>
      </c>
      <c r="D72">
        <f>XLOOKUP(Sales!C72, Products!A:A, Products!D:D)</f>
        <v/>
      </c>
      <c r="E72">
        <f>Sales!D72*Sales!E72</f>
        <v/>
      </c>
      <c r="F72">
        <f>MATCH(Sales!C72, Products!A:A, 0)</f>
        <v/>
      </c>
      <c r="G72">
        <f>OFFSET(Sales!E72,1,0)</f>
        <v/>
      </c>
      <c r="H72">
        <f>IF(AND(Sales!D72*Sales!E72&gt;5000, INDEX(Products!C:C, MATCH(Sales!C72, Products!A:A, 0))="Electronics"),"High Value","Normal")</f>
        <v/>
      </c>
    </row>
    <row r="73">
      <c r="A73">
        <f>Sales!A73</f>
        <v/>
      </c>
      <c r="B73">
        <f>VLOOKUP(Sales!C73,Products!A:E,2,FALSE)</f>
        <v/>
      </c>
      <c r="C73">
        <f>INDEX(Products!C:C, MATCH(Sales!C73, Products!A:A, 0))</f>
        <v/>
      </c>
      <c r="D73">
        <f>XLOOKUP(Sales!C73, Products!A:A, Products!D:D)</f>
        <v/>
      </c>
      <c r="E73">
        <f>Sales!D73*Sales!E73</f>
        <v/>
      </c>
      <c r="F73">
        <f>MATCH(Sales!C73, Products!A:A, 0)</f>
        <v/>
      </c>
      <c r="G73">
        <f>OFFSET(Sales!E73,1,0)</f>
        <v/>
      </c>
      <c r="H73">
        <f>IF(AND(Sales!D73*Sales!E73&gt;5000, INDEX(Products!C:C, MATCH(Sales!C73, Products!A:A, 0))="Electronics"),"High Value","Normal")</f>
        <v/>
      </c>
    </row>
    <row r="74">
      <c r="A74">
        <f>Sales!A74</f>
        <v/>
      </c>
      <c r="B74">
        <f>VLOOKUP(Sales!C74,Products!A:E,2,FALSE)</f>
        <v/>
      </c>
      <c r="C74">
        <f>INDEX(Products!C:C, MATCH(Sales!C74, Products!A:A, 0))</f>
        <v/>
      </c>
      <c r="D74">
        <f>XLOOKUP(Sales!C74, Products!A:A, Products!D:D)</f>
        <v/>
      </c>
      <c r="E74">
        <f>Sales!D74*Sales!E74</f>
        <v/>
      </c>
      <c r="F74">
        <f>MATCH(Sales!C74, Products!A:A, 0)</f>
        <v/>
      </c>
      <c r="G74">
        <f>OFFSET(Sales!E74,1,0)</f>
        <v/>
      </c>
      <c r="H74">
        <f>IF(AND(Sales!D74*Sales!E74&gt;5000, INDEX(Products!C:C, MATCH(Sales!C74, Products!A:A, 0))="Electronics"),"High Value","Normal")</f>
        <v/>
      </c>
    </row>
    <row r="75">
      <c r="A75">
        <f>Sales!A75</f>
        <v/>
      </c>
      <c r="B75">
        <f>VLOOKUP(Sales!C75,Products!A:E,2,FALSE)</f>
        <v/>
      </c>
      <c r="C75">
        <f>INDEX(Products!C:C, MATCH(Sales!C75, Products!A:A, 0))</f>
        <v/>
      </c>
      <c r="D75">
        <f>XLOOKUP(Sales!C75, Products!A:A, Products!D:D)</f>
        <v/>
      </c>
      <c r="E75">
        <f>Sales!D75*Sales!E75</f>
        <v/>
      </c>
      <c r="F75">
        <f>MATCH(Sales!C75, Products!A:A, 0)</f>
        <v/>
      </c>
      <c r="G75">
        <f>OFFSET(Sales!E75,1,0)</f>
        <v/>
      </c>
      <c r="H75">
        <f>IF(AND(Sales!D75*Sales!E75&gt;5000, INDEX(Products!C:C, MATCH(Sales!C75, Products!A:A, 0))="Electronics"),"High Value","Normal")</f>
        <v/>
      </c>
    </row>
    <row r="76">
      <c r="A76">
        <f>Sales!A76</f>
        <v/>
      </c>
      <c r="B76">
        <f>VLOOKUP(Sales!C76,Products!A:E,2,FALSE)</f>
        <v/>
      </c>
      <c r="C76">
        <f>INDEX(Products!C:C, MATCH(Sales!C76, Products!A:A, 0))</f>
        <v/>
      </c>
      <c r="D76">
        <f>XLOOKUP(Sales!C76, Products!A:A, Products!D:D)</f>
        <v/>
      </c>
      <c r="E76">
        <f>Sales!D76*Sales!E76</f>
        <v/>
      </c>
      <c r="F76">
        <f>MATCH(Sales!C76, Products!A:A, 0)</f>
        <v/>
      </c>
      <c r="G76">
        <f>OFFSET(Sales!E76,1,0)</f>
        <v/>
      </c>
      <c r="H76">
        <f>IF(AND(Sales!D76*Sales!E76&gt;5000, INDEX(Products!C:C, MATCH(Sales!C76, Products!A:A, 0))="Electronics"),"High Value","Normal")</f>
        <v/>
      </c>
    </row>
    <row r="77">
      <c r="A77">
        <f>Sales!A77</f>
        <v/>
      </c>
      <c r="B77">
        <f>VLOOKUP(Sales!C77,Products!A:E,2,FALSE)</f>
        <v/>
      </c>
      <c r="C77">
        <f>INDEX(Products!C:C, MATCH(Sales!C77, Products!A:A, 0))</f>
        <v/>
      </c>
      <c r="D77">
        <f>XLOOKUP(Sales!C77, Products!A:A, Products!D:D)</f>
        <v/>
      </c>
      <c r="E77">
        <f>Sales!D77*Sales!E77</f>
        <v/>
      </c>
      <c r="F77">
        <f>MATCH(Sales!C77, Products!A:A, 0)</f>
        <v/>
      </c>
      <c r="G77">
        <f>OFFSET(Sales!E77,1,0)</f>
        <v/>
      </c>
      <c r="H77">
        <f>IF(AND(Sales!D77*Sales!E77&gt;5000, INDEX(Products!C:C, MATCH(Sales!C77, Products!A:A, 0))="Electronics"),"High Value","Normal")</f>
        <v/>
      </c>
    </row>
    <row r="78">
      <c r="A78">
        <f>Sales!A78</f>
        <v/>
      </c>
      <c r="B78">
        <f>VLOOKUP(Sales!C78,Products!A:E,2,FALSE)</f>
        <v/>
      </c>
      <c r="C78">
        <f>INDEX(Products!C:C, MATCH(Sales!C78, Products!A:A, 0))</f>
        <v/>
      </c>
      <c r="D78">
        <f>XLOOKUP(Sales!C78, Products!A:A, Products!D:D)</f>
        <v/>
      </c>
      <c r="E78">
        <f>Sales!D78*Sales!E78</f>
        <v/>
      </c>
      <c r="F78">
        <f>MATCH(Sales!C78, Products!A:A, 0)</f>
        <v/>
      </c>
      <c r="G78">
        <f>OFFSET(Sales!E78,1,0)</f>
        <v/>
      </c>
      <c r="H78">
        <f>IF(AND(Sales!D78*Sales!E78&gt;5000, INDEX(Products!C:C, MATCH(Sales!C78, Products!A:A, 0))="Electronics"),"High Value","Normal")</f>
        <v/>
      </c>
    </row>
    <row r="79">
      <c r="A79">
        <f>Sales!A79</f>
        <v/>
      </c>
      <c r="B79">
        <f>VLOOKUP(Sales!C79,Products!A:E,2,FALSE)</f>
        <v/>
      </c>
      <c r="C79">
        <f>INDEX(Products!C:C, MATCH(Sales!C79, Products!A:A, 0))</f>
        <v/>
      </c>
      <c r="D79">
        <f>XLOOKUP(Sales!C79, Products!A:A, Products!D:D)</f>
        <v/>
      </c>
      <c r="E79">
        <f>Sales!D79*Sales!E79</f>
        <v/>
      </c>
      <c r="F79">
        <f>MATCH(Sales!C79, Products!A:A, 0)</f>
        <v/>
      </c>
      <c r="G79">
        <f>OFFSET(Sales!E79,1,0)</f>
        <v/>
      </c>
      <c r="H79">
        <f>IF(AND(Sales!D79*Sales!E79&gt;5000, INDEX(Products!C:C, MATCH(Sales!C79, Products!A:A, 0))="Electronics"),"High Value","Normal")</f>
        <v/>
      </c>
    </row>
    <row r="80">
      <c r="A80">
        <f>Sales!A80</f>
        <v/>
      </c>
      <c r="B80">
        <f>VLOOKUP(Sales!C80,Products!A:E,2,FALSE)</f>
        <v/>
      </c>
      <c r="C80">
        <f>INDEX(Products!C:C, MATCH(Sales!C80, Products!A:A, 0))</f>
        <v/>
      </c>
      <c r="D80">
        <f>XLOOKUP(Sales!C80, Products!A:A, Products!D:D)</f>
        <v/>
      </c>
      <c r="E80">
        <f>Sales!D80*Sales!E80</f>
        <v/>
      </c>
      <c r="F80">
        <f>MATCH(Sales!C80, Products!A:A, 0)</f>
        <v/>
      </c>
      <c r="G80">
        <f>OFFSET(Sales!E80,1,0)</f>
        <v/>
      </c>
      <c r="H80">
        <f>IF(AND(Sales!D80*Sales!E80&gt;5000, INDEX(Products!C:C, MATCH(Sales!C80, Products!A:A, 0))="Electronics"),"High Value","Normal")</f>
        <v/>
      </c>
    </row>
    <row r="81">
      <c r="A81">
        <f>Sales!A81</f>
        <v/>
      </c>
      <c r="B81">
        <f>VLOOKUP(Sales!C81,Products!A:E,2,FALSE)</f>
        <v/>
      </c>
      <c r="C81">
        <f>INDEX(Products!C:C, MATCH(Sales!C81, Products!A:A, 0))</f>
        <v/>
      </c>
      <c r="D81">
        <f>XLOOKUP(Sales!C81, Products!A:A, Products!D:D)</f>
        <v/>
      </c>
      <c r="E81">
        <f>Sales!D81*Sales!E81</f>
        <v/>
      </c>
      <c r="F81">
        <f>MATCH(Sales!C81, Products!A:A, 0)</f>
        <v/>
      </c>
      <c r="G81">
        <f>OFFSET(Sales!E81,1,0)</f>
        <v/>
      </c>
      <c r="H81">
        <f>IF(AND(Sales!D81*Sales!E81&gt;5000, INDEX(Products!C:C, MATCH(Sales!C81, Products!A:A, 0))="Electronics"),"High Value","Normal")</f>
        <v/>
      </c>
    </row>
    <row r="82">
      <c r="A82">
        <f>Sales!A82</f>
        <v/>
      </c>
      <c r="B82">
        <f>VLOOKUP(Sales!C82,Products!A:E,2,FALSE)</f>
        <v/>
      </c>
      <c r="C82">
        <f>INDEX(Products!C:C, MATCH(Sales!C82, Products!A:A, 0))</f>
        <v/>
      </c>
      <c r="D82">
        <f>XLOOKUP(Sales!C82, Products!A:A, Products!D:D)</f>
        <v/>
      </c>
      <c r="E82">
        <f>Sales!D82*Sales!E82</f>
        <v/>
      </c>
      <c r="F82">
        <f>MATCH(Sales!C82, Products!A:A, 0)</f>
        <v/>
      </c>
      <c r="G82">
        <f>OFFSET(Sales!E82,1,0)</f>
        <v/>
      </c>
      <c r="H82">
        <f>IF(AND(Sales!D82*Sales!E82&gt;5000, INDEX(Products!C:C, MATCH(Sales!C82, Products!A:A, 0))="Electronics"),"High Value","Normal")</f>
        <v/>
      </c>
    </row>
    <row r="83">
      <c r="A83">
        <f>Sales!A83</f>
        <v/>
      </c>
      <c r="B83">
        <f>VLOOKUP(Sales!C83,Products!A:E,2,FALSE)</f>
        <v/>
      </c>
      <c r="C83">
        <f>INDEX(Products!C:C, MATCH(Sales!C83, Products!A:A, 0))</f>
        <v/>
      </c>
      <c r="D83">
        <f>XLOOKUP(Sales!C83, Products!A:A, Products!D:D)</f>
        <v/>
      </c>
      <c r="E83">
        <f>Sales!D83*Sales!E83</f>
        <v/>
      </c>
      <c r="F83">
        <f>MATCH(Sales!C83, Products!A:A, 0)</f>
        <v/>
      </c>
      <c r="G83">
        <f>OFFSET(Sales!E83,1,0)</f>
        <v/>
      </c>
      <c r="H83">
        <f>IF(AND(Sales!D83*Sales!E83&gt;5000, INDEX(Products!C:C, MATCH(Sales!C83, Products!A:A, 0))="Electronics"),"High Value","Normal")</f>
        <v/>
      </c>
    </row>
    <row r="84">
      <c r="A84">
        <f>Sales!A84</f>
        <v/>
      </c>
      <c r="B84">
        <f>VLOOKUP(Sales!C84,Products!A:E,2,FALSE)</f>
        <v/>
      </c>
      <c r="C84">
        <f>INDEX(Products!C:C, MATCH(Sales!C84, Products!A:A, 0))</f>
        <v/>
      </c>
      <c r="D84">
        <f>XLOOKUP(Sales!C84, Products!A:A, Products!D:D)</f>
        <v/>
      </c>
      <c r="E84">
        <f>Sales!D84*Sales!E84</f>
        <v/>
      </c>
      <c r="F84">
        <f>MATCH(Sales!C84, Products!A:A, 0)</f>
        <v/>
      </c>
      <c r="G84">
        <f>OFFSET(Sales!E84,1,0)</f>
        <v/>
      </c>
      <c r="H84">
        <f>IF(AND(Sales!D84*Sales!E84&gt;5000, INDEX(Products!C:C, MATCH(Sales!C84, Products!A:A, 0))="Electronics"),"High Value","Normal")</f>
        <v/>
      </c>
    </row>
    <row r="85">
      <c r="A85">
        <f>Sales!A85</f>
        <v/>
      </c>
      <c r="B85">
        <f>VLOOKUP(Sales!C85,Products!A:E,2,FALSE)</f>
        <v/>
      </c>
      <c r="C85">
        <f>INDEX(Products!C:C, MATCH(Sales!C85, Products!A:A, 0))</f>
        <v/>
      </c>
      <c r="D85">
        <f>XLOOKUP(Sales!C85, Products!A:A, Products!D:D)</f>
        <v/>
      </c>
      <c r="E85">
        <f>Sales!D85*Sales!E85</f>
        <v/>
      </c>
      <c r="F85">
        <f>MATCH(Sales!C85, Products!A:A, 0)</f>
        <v/>
      </c>
      <c r="G85">
        <f>OFFSET(Sales!E85,1,0)</f>
        <v/>
      </c>
      <c r="H85">
        <f>IF(AND(Sales!D85*Sales!E85&gt;5000, INDEX(Products!C:C, MATCH(Sales!C85, Products!A:A, 0))="Electronics"),"High Value","Normal")</f>
        <v/>
      </c>
    </row>
    <row r="86">
      <c r="A86">
        <f>Sales!A86</f>
        <v/>
      </c>
      <c r="B86">
        <f>VLOOKUP(Sales!C86,Products!A:E,2,FALSE)</f>
        <v/>
      </c>
      <c r="C86">
        <f>INDEX(Products!C:C, MATCH(Sales!C86, Products!A:A, 0))</f>
        <v/>
      </c>
      <c r="D86">
        <f>XLOOKUP(Sales!C86, Products!A:A, Products!D:D)</f>
        <v/>
      </c>
      <c r="E86">
        <f>Sales!D86*Sales!E86</f>
        <v/>
      </c>
      <c r="F86">
        <f>MATCH(Sales!C86, Products!A:A, 0)</f>
        <v/>
      </c>
      <c r="G86">
        <f>OFFSET(Sales!E86,1,0)</f>
        <v/>
      </c>
      <c r="H86">
        <f>IF(AND(Sales!D86*Sales!E86&gt;5000, INDEX(Products!C:C, MATCH(Sales!C86, Products!A:A, 0))="Electronics"),"High Value","Normal")</f>
        <v/>
      </c>
    </row>
    <row r="87">
      <c r="A87">
        <f>Sales!A87</f>
        <v/>
      </c>
      <c r="B87">
        <f>VLOOKUP(Sales!C87,Products!A:E,2,FALSE)</f>
        <v/>
      </c>
      <c r="C87">
        <f>INDEX(Products!C:C, MATCH(Sales!C87, Products!A:A, 0))</f>
        <v/>
      </c>
      <c r="D87">
        <f>XLOOKUP(Sales!C87, Products!A:A, Products!D:D)</f>
        <v/>
      </c>
      <c r="E87">
        <f>Sales!D87*Sales!E87</f>
        <v/>
      </c>
      <c r="F87">
        <f>MATCH(Sales!C87, Products!A:A, 0)</f>
        <v/>
      </c>
      <c r="G87">
        <f>OFFSET(Sales!E87,1,0)</f>
        <v/>
      </c>
      <c r="H87">
        <f>IF(AND(Sales!D87*Sales!E87&gt;5000, INDEX(Products!C:C, MATCH(Sales!C87, Products!A:A, 0))="Electronics"),"High Value","Normal")</f>
        <v/>
      </c>
    </row>
    <row r="88">
      <c r="A88">
        <f>Sales!A88</f>
        <v/>
      </c>
      <c r="B88">
        <f>VLOOKUP(Sales!C88,Products!A:E,2,FALSE)</f>
        <v/>
      </c>
      <c r="C88">
        <f>INDEX(Products!C:C, MATCH(Sales!C88, Products!A:A, 0))</f>
        <v/>
      </c>
      <c r="D88">
        <f>XLOOKUP(Sales!C88, Products!A:A, Products!D:D)</f>
        <v/>
      </c>
      <c r="E88">
        <f>Sales!D88*Sales!E88</f>
        <v/>
      </c>
      <c r="F88">
        <f>MATCH(Sales!C88, Products!A:A, 0)</f>
        <v/>
      </c>
      <c r="G88">
        <f>OFFSET(Sales!E88,1,0)</f>
        <v/>
      </c>
      <c r="H88">
        <f>IF(AND(Sales!D88*Sales!E88&gt;5000, INDEX(Products!C:C, MATCH(Sales!C88, Products!A:A, 0))="Electronics"),"High Value","Normal")</f>
        <v/>
      </c>
    </row>
    <row r="89">
      <c r="A89">
        <f>Sales!A89</f>
        <v/>
      </c>
      <c r="B89">
        <f>VLOOKUP(Sales!C89,Products!A:E,2,FALSE)</f>
        <v/>
      </c>
      <c r="C89">
        <f>INDEX(Products!C:C, MATCH(Sales!C89, Products!A:A, 0))</f>
        <v/>
      </c>
      <c r="D89">
        <f>XLOOKUP(Sales!C89, Products!A:A, Products!D:D)</f>
        <v/>
      </c>
      <c r="E89">
        <f>Sales!D89*Sales!E89</f>
        <v/>
      </c>
      <c r="F89">
        <f>MATCH(Sales!C89, Products!A:A, 0)</f>
        <v/>
      </c>
      <c r="G89">
        <f>OFFSET(Sales!E89,1,0)</f>
        <v/>
      </c>
      <c r="H89">
        <f>IF(AND(Sales!D89*Sales!E89&gt;5000, INDEX(Products!C:C, MATCH(Sales!C89, Products!A:A, 0))="Electronics"),"High Value","Normal")</f>
        <v/>
      </c>
    </row>
    <row r="90">
      <c r="A90">
        <f>Sales!A90</f>
        <v/>
      </c>
      <c r="B90">
        <f>VLOOKUP(Sales!C90,Products!A:E,2,FALSE)</f>
        <v/>
      </c>
      <c r="C90">
        <f>INDEX(Products!C:C, MATCH(Sales!C90, Products!A:A, 0))</f>
        <v/>
      </c>
      <c r="D90">
        <f>XLOOKUP(Sales!C90, Products!A:A, Products!D:D)</f>
        <v/>
      </c>
      <c r="E90">
        <f>Sales!D90*Sales!E90</f>
        <v/>
      </c>
      <c r="F90">
        <f>MATCH(Sales!C90, Products!A:A, 0)</f>
        <v/>
      </c>
      <c r="G90">
        <f>OFFSET(Sales!E90,1,0)</f>
        <v/>
      </c>
      <c r="H90">
        <f>IF(AND(Sales!D90*Sales!E90&gt;5000, INDEX(Products!C:C, MATCH(Sales!C90, Products!A:A, 0))="Electronics"),"High Value","Normal")</f>
        <v/>
      </c>
    </row>
    <row r="91">
      <c r="A91">
        <f>Sales!A91</f>
        <v/>
      </c>
      <c r="B91">
        <f>VLOOKUP(Sales!C91,Products!A:E,2,FALSE)</f>
        <v/>
      </c>
      <c r="C91">
        <f>INDEX(Products!C:C, MATCH(Sales!C91, Products!A:A, 0))</f>
        <v/>
      </c>
      <c r="D91">
        <f>XLOOKUP(Sales!C91, Products!A:A, Products!D:D)</f>
        <v/>
      </c>
      <c r="E91">
        <f>Sales!D91*Sales!E91</f>
        <v/>
      </c>
      <c r="F91">
        <f>MATCH(Sales!C91, Products!A:A, 0)</f>
        <v/>
      </c>
      <c r="G91">
        <f>OFFSET(Sales!E91,1,0)</f>
        <v/>
      </c>
      <c r="H91">
        <f>IF(AND(Sales!D91*Sales!E91&gt;5000, INDEX(Products!C:C, MATCH(Sales!C91, Products!A:A, 0))="Electronics"),"High Value","Normal")</f>
        <v/>
      </c>
    </row>
    <row r="92">
      <c r="A92">
        <f>Sales!A92</f>
        <v/>
      </c>
      <c r="B92">
        <f>VLOOKUP(Sales!C92,Products!A:E,2,FALSE)</f>
        <v/>
      </c>
      <c r="C92">
        <f>INDEX(Products!C:C, MATCH(Sales!C92, Products!A:A, 0))</f>
        <v/>
      </c>
      <c r="D92">
        <f>XLOOKUP(Sales!C92, Products!A:A, Products!D:D)</f>
        <v/>
      </c>
      <c r="E92">
        <f>Sales!D92*Sales!E92</f>
        <v/>
      </c>
      <c r="F92">
        <f>MATCH(Sales!C92, Products!A:A, 0)</f>
        <v/>
      </c>
      <c r="G92">
        <f>OFFSET(Sales!E92,1,0)</f>
        <v/>
      </c>
      <c r="H92">
        <f>IF(AND(Sales!D92*Sales!E92&gt;5000, INDEX(Products!C:C, MATCH(Sales!C92, Products!A:A, 0))="Electronics"),"High Value","Normal")</f>
        <v/>
      </c>
    </row>
    <row r="93">
      <c r="A93">
        <f>Sales!A93</f>
        <v/>
      </c>
      <c r="B93">
        <f>VLOOKUP(Sales!C93,Products!A:E,2,FALSE)</f>
        <v/>
      </c>
      <c r="C93">
        <f>INDEX(Products!C:C, MATCH(Sales!C93, Products!A:A, 0))</f>
        <v/>
      </c>
      <c r="D93">
        <f>XLOOKUP(Sales!C93, Products!A:A, Products!D:D)</f>
        <v/>
      </c>
      <c r="E93">
        <f>Sales!D93*Sales!E93</f>
        <v/>
      </c>
      <c r="F93">
        <f>MATCH(Sales!C93, Products!A:A, 0)</f>
        <v/>
      </c>
      <c r="G93">
        <f>OFFSET(Sales!E93,1,0)</f>
        <v/>
      </c>
      <c r="H93">
        <f>IF(AND(Sales!D93*Sales!E93&gt;5000, INDEX(Products!C:C, MATCH(Sales!C93, Products!A:A, 0))="Electronics"),"High Value","Normal")</f>
        <v/>
      </c>
    </row>
    <row r="94">
      <c r="A94">
        <f>Sales!A94</f>
        <v/>
      </c>
      <c r="B94">
        <f>VLOOKUP(Sales!C94,Products!A:E,2,FALSE)</f>
        <v/>
      </c>
      <c r="C94">
        <f>INDEX(Products!C:C, MATCH(Sales!C94, Products!A:A, 0))</f>
        <v/>
      </c>
      <c r="D94">
        <f>XLOOKUP(Sales!C94, Products!A:A, Products!D:D)</f>
        <v/>
      </c>
      <c r="E94">
        <f>Sales!D94*Sales!E94</f>
        <v/>
      </c>
      <c r="F94">
        <f>MATCH(Sales!C94, Products!A:A, 0)</f>
        <v/>
      </c>
      <c r="G94">
        <f>OFFSET(Sales!E94,1,0)</f>
        <v/>
      </c>
      <c r="H94">
        <f>IF(AND(Sales!D94*Sales!E94&gt;5000, INDEX(Products!C:C, MATCH(Sales!C94, Products!A:A, 0))="Electronics"),"High Value","Normal")</f>
        <v/>
      </c>
    </row>
    <row r="95">
      <c r="A95">
        <f>Sales!A95</f>
        <v/>
      </c>
      <c r="B95">
        <f>VLOOKUP(Sales!C95,Products!A:E,2,FALSE)</f>
        <v/>
      </c>
      <c r="C95">
        <f>INDEX(Products!C:C, MATCH(Sales!C95, Products!A:A, 0))</f>
        <v/>
      </c>
      <c r="D95">
        <f>XLOOKUP(Sales!C95, Products!A:A, Products!D:D)</f>
        <v/>
      </c>
      <c r="E95">
        <f>Sales!D95*Sales!E95</f>
        <v/>
      </c>
      <c r="F95">
        <f>MATCH(Sales!C95, Products!A:A, 0)</f>
        <v/>
      </c>
      <c r="G95">
        <f>OFFSET(Sales!E95,1,0)</f>
        <v/>
      </c>
      <c r="H95">
        <f>IF(AND(Sales!D95*Sales!E95&gt;5000, INDEX(Products!C:C, MATCH(Sales!C95, Products!A:A, 0))="Electronics"),"High Value","Normal")</f>
        <v/>
      </c>
    </row>
    <row r="96">
      <c r="A96">
        <f>Sales!A96</f>
        <v/>
      </c>
      <c r="B96">
        <f>VLOOKUP(Sales!C96,Products!A:E,2,FALSE)</f>
        <v/>
      </c>
      <c r="C96">
        <f>INDEX(Products!C:C, MATCH(Sales!C96, Products!A:A, 0))</f>
        <v/>
      </c>
      <c r="D96">
        <f>XLOOKUP(Sales!C96, Products!A:A, Products!D:D)</f>
        <v/>
      </c>
      <c r="E96">
        <f>Sales!D96*Sales!E96</f>
        <v/>
      </c>
      <c r="F96">
        <f>MATCH(Sales!C96, Products!A:A, 0)</f>
        <v/>
      </c>
      <c r="G96">
        <f>OFFSET(Sales!E96,1,0)</f>
        <v/>
      </c>
      <c r="H96">
        <f>IF(AND(Sales!D96*Sales!E96&gt;5000, INDEX(Products!C:C, MATCH(Sales!C96, Products!A:A, 0))="Electronics"),"High Value","Normal")</f>
        <v/>
      </c>
    </row>
    <row r="97">
      <c r="A97">
        <f>Sales!A97</f>
        <v/>
      </c>
      <c r="B97">
        <f>VLOOKUP(Sales!C97,Products!A:E,2,FALSE)</f>
        <v/>
      </c>
      <c r="C97">
        <f>INDEX(Products!C:C, MATCH(Sales!C97, Products!A:A, 0))</f>
        <v/>
      </c>
      <c r="D97">
        <f>XLOOKUP(Sales!C97, Products!A:A, Products!D:D)</f>
        <v/>
      </c>
      <c r="E97">
        <f>Sales!D97*Sales!E97</f>
        <v/>
      </c>
      <c r="F97">
        <f>MATCH(Sales!C97, Products!A:A, 0)</f>
        <v/>
      </c>
      <c r="G97">
        <f>OFFSET(Sales!E97,1,0)</f>
        <v/>
      </c>
      <c r="H97">
        <f>IF(AND(Sales!D97*Sales!E97&gt;5000, INDEX(Products!C:C, MATCH(Sales!C97, Products!A:A, 0))="Electronics"),"High Value","Normal")</f>
        <v/>
      </c>
    </row>
    <row r="98">
      <c r="A98">
        <f>Sales!A98</f>
        <v/>
      </c>
      <c r="B98">
        <f>VLOOKUP(Sales!C98,Products!A:E,2,FALSE)</f>
        <v/>
      </c>
      <c r="C98">
        <f>INDEX(Products!C:C, MATCH(Sales!C98, Products!A:A, 0))</f>
        <v/>
      </c>
      <c r="D98">
        <f>XLOOKUP(Sales!C98, Products!A:A, Products!D:D)</f>
        <v/>
      </c>
      <c r="E98">
        <f>Sales!D98*Sales!E98</f>
        <v/>
      </c>
      <c r="F98">
        <f>MATCH(Sales!C98, Products!A:A, 0)</f>
        <v/>
      </c>
      <c r="G98">
        <f>OFFSET(Sales!E98,1,0)</f>
        <v/>
      </c>
      <c r="H98">
        <f>IF(AND(Sales!D98*Sales!E98&gt;5000, INDEX(Products!C:C, MATCH(Sales!C98, Products!A:A, 0))="Electronics"),"High Value","Normal")</f>
        <v/>
      </c>
    </row>
    <row r="99">
      <c r="A99">
        <f>Sales!A99</f>
        <v/>
      </c>
      <c r="B99">
        <f>VLOOKUP(Sales!C99,Products!A:E,2,FALSE)</f>
        <v/>
      </c>
      <c r="C99">
        <f>INDEX(Products!C:C, MATCH(Sales!C99, Products!A:A, 0))</f>
        <v/>
      </c>
      <c r="D99">
        <f>XLOOKUP(Sales!C99, Products!A:A, Products!D:D)</f>
        <v/>
      </c>
      <c r="E99">
        <f>Sales!D99*Sales!E99</f>
        <v/>
      </c>
      <c r="F99">
        <f>MATCH(Sales!C99, Products!A:A, 0)</f>
        <v/>
      </c>
      <c r="G99">
        <f>OFFSET(Sales!E99,1,0)</f>
        <v/>
      </c>
      <c r="H99">
        <f>IF(AND(Sales!D99*Sales!E99&gt;5000, INDEX(Products!C:C, MATCH(Sales!C99, Products!A:A, 0))="Electronics"),"High Value","Normal")</f>
        <v/>
      </c>
    </row>
    <row r="100">
      <c r="A100">
        <f>Sales!A100</f>
        <v/>
      </c>
      <c r="B100">
        <f>VLOOKUP(Sales!C100,Products!A:E,2,FALSE)</f>
        <v/>
      </c>
      <c r="C100">
        <f>INDEX(Products!C:C, MATCH(Sales!C100, Products!A:A, 0))</f>
        <v/>
      </c>
      <c r="D100">
        <f>XLOOKUP(Sales!C100, Products!A:A, Products!D:D)</f>
        <v/>
      </c>
      <c r="E100">
        <f>Sales!D100*Sales!E100</f>
        <v/>
      </c>
      <c r="F100">
        <f>MATCH(Sales!C100, Products!A:A, 0)</f>
        <v/>
      </c>
      <c r="G100">
        <f>OFFSET(Sales!E100,1,0)</f>
        <v/>
      </c>
      <c r="H100">
        <f>IF(AND(Sales!D100*Sales!E100&gt;5000, INDEX(Products!C:C, MATCH(Sales!C100, Products!A:A, 0))="Electronics"),"High Value","Normal")</f>
        <v/>
      </c>
    </row>
    <row r="101">
      <c r="A101">
        <f>Sales!A101</f>
        <v/>
      </c>
      <c r="B101">
        <f>VLOOKUP(Sales!C101,Products!A:E,2,FALSE)</f>
        <v/>
      </c>
      <c r="C101">
        <f>INDEX(Products!C:C, MATCH(Sales!C101, Products!A:A, 0))</f>
        <v/>
      </c>
      <c r="D101">
        <f>XLOOKUP(Sales!C101, Products!A:A, Products!D:D)</f>
        <v/>
      </c>
      <c r="E101">
        <f>Sales!D101*Sales!E101</f>
        <v/>
      </c>
      <c r="F101">
        <f>MATCH(Sales!C101, Products!A:A, 0)</f>
        <v/>
      </c>
      <c r="G101">
        <f>OFFSET(Sales!E101,1,0)</f>
        <v/>
      </c>
      <c r="H101">
        <f>IF(AND(Sales!D101*Sales!E101&gt;5000, INDEX(Products!C:C, MATCH(Sales!C101, Products!A:A, 0))="Electronics"),"High Value","Normal")</f>
        <v/>
      </c>
    </row>
    <row r="102">
      <c r="A102">
        <f>Sales!A102</f>
        <v/>
      </c>
      <c r="B102">
        <f>VLOOKUP(Sales!C102,Products!A:E,2,FALSE)</f>
        <v/>
      </c>
      <c r="C102">
        <f>INDEX(Products!C:C, MATCH(Sales!C102, Products!A:A, 0))</f>
        <v/>
      </c>
      <c r="D102">
        <f>XLOOKUP(Sales!C102, Products!A:A, Products!D:D)</f>
        <v/>
      </c>
      <c r="E102">
        <f>Sales!D102*Sales!E102</f>
        <v/>
      </c>
      <c r="F102">
        <f>MATCH(Sales!C102, Products!A:A, 0)</f>
        <v/>
      </c>
      <c r="G102">
        <f>OFFSET(Sales!E102,1,0)</f>
        <v/>
      </c>
      <c r="H102">
        <f>IF(AND(Sales!D102*Sales!E102&gt;5000, INDEX(Products!C:C, MATCH(Sales!C102, Products!A:A, 0))="Electronics"),"High Value","Normal")</f>
        <v/>
      </c>
    </row>
    <row r="103">
      <c r="A103">
        <f>Sales!A103</f>
        <v/>
      </c>
      <c r="B103">
        <f>VLOOKUP(Sales!C103,Products!A:E,2,FALSE)</f>
        <v/>
      </c>
      <c r="C103">
        <f>INDEX(Products!C:C, MATCH(Sales!C103, Products!A:A, 0))</f>
        <v/>
      </c>
      <c r="D103">
        <f>XLOOKUP(Sales!C103, Products!A:A, Products!D:D)</f>
        <v/>
      </c>
      <c r="E103">
        <f>Sales!D103*Sales!E103</f>
        <v/>
      </c>
      <c r="F103">
        <f>MATCH(Sales!C103, Products!A:A, 0)</f>
        <v/>
      </c>
      <c r="G103">
        <f>OFFSET(Sales!E103,1,0)</f>
        <v/>
      </c>
      <c r="H103">
        <f>IF(AND(Sales!D103*Sales!E103&gt;5000, INDEX(Products!C:C, MATCH(Sales!C103, Products!A:A, 0))="Electronics"),"High Value","Normal")</f>
        <v/>
      </c>
    </row>
    <row r="104">
      <c r="A104">
        <f>Sales!A104</f>
        <v/>
      </c>
      <c r="B104">
        <f>VLOOKUP(Sales!C104,Products!A:E,2,FALSE)</f>
        <v/>
      </c>
      <c r="C104">
        <f>INDEX(Products!C:C, MATCH(Sales!C104, Products!A:A, 0))</f>
        <v/>
      </c>
      <c r="D104">
        <f>XLOOKUP(Sales!C104, Products!A:A, Products!D:D)</f>
        <v/>
      </c>
      <c r="E104">
        <f>Sales!D104*Sales!E104</f>
        <v/>
      </c>
      <c r="F104">
        <f>MATCH(Sales!C104, Products!A:A, 0)</f>
        <v/>
      </c>
      <c r="G104">
        <f>OFFSET(Sales!E104,1,0)</f>
        <v/>
      </c>
      <c r="H104">
        <f>IF(AND(Sales!D104*Sales!E104&gt;5000, INDEX(Products!C:C, MATCH(Sales!C104, Products!A:A, 0))="Electronics"),"High Value","Normal")</f>
        <v/>
      </c>
    </row>
    <row r="105">
      <c r="A105">
        <f>Sales!A105</f>
        <v/>
      </c>
      <c r="B105">
        <f>VLOOKUP(Sales!C105,Products!A:E,2,FALSE)</f>
        <v/>
      </c>
      <c r="C105">
        <f>INDEX(Products!C:C, MATCH(Sales!C105, Products!A:A, 0))</f>
        <v/>
      </c>
      <c r="D105">
        <f>XLOOKUP(Sales!C105, Products!A:A, Products!D:D)</f>
        <v/>
      </c>
      <c r="E105">
        <f>Sales!D105*Sales!E105</f>
        <v/>
      </c>
      <c r="F105">
        <f>MATCH(Sales!C105, Products!A:A, 0)</f>
        <v/>
      </c>
      <c r="G105">
        <f>OFFSET(Sales!E105,1,0)</f>
        <v/>
      </c>
      <c r="H105">
        <f>IF(AND(Sales!D105*Sales!E105&gt;5000, INDEX(Products!C:C, MATCH(Sales!C105, Products!A:A, 0))="Electronics"),"High Value","Normal")</f>
        <v/>
      </c>
    </row>
    <row r="106">
      <c r="A106">
        <f>Sales!A106</f>
        <v/>
      </c>
      <c r="B106">
        <f>VLOOKUP(Sales!C106,Products!A:E,2,FALSE)</f>
        <v/>
      </c>
      <c r="C106">
        <f>INDEX(Products!C:C, MATCH(Sales!C106, Products!A:A, 0))</f>
        <v/>
      </c>
      <c r="D106">
        <f>XLOOKUP(Sales!C106, Products!A:A, Products!D:D)</f>
        <v/>
      </c>
      <c r="E106">
        <f>Sales!D106*Sales!E106</f>
        <v/>
      </c>
      <c r="F106">
        <f>MATCH(Sales!C106, Products!A:A, 0)</f>
        <v/>
      </c>
      <c r="G106">
        <f>OFFSET(Sales!E106,1,0)</f>
        <v/>
      </c>
      <c r="H106">
        <f>IF(AND(Sales!D106*Sales!E106&gt;5000, INDEX(Products!C:C, MATCH(Sales!C106, Products!A:A, 0))="Electronics"),"High Value","Normal")</f>
        <v/>
      </c>
    </row>
    <row r="107">
      <c r="A107">
        <f>Sales!A107</f>
        <v/>
      </c>
      <c r="B107">
        <f>VLOOKUP(Sales!C107,Products!A:E,2,FALSE)</f>
        <v/>
      </c>
      <c r="C107">
        <f>INDEX(Products!C:C, MATCH(Sales!C107, Products!A:A, 0))</f>
        <v/>
      </c>
      <c r="D107">
        <f>XLOOKUP(Sales!C107, Products!A:A, Products!D:D)</f>
        <v/>
      </c>
      <c r="E107">
        <f>Sales!D107*Sales!E107</f>
        <v/>
      </c>
      <c r="F107">
        <f>MATCH(Sales!C107, Products!A:A, 0)</f>
        <v/>
      </c>
      <c r="G107">
        <f>OFFSET(Sales!E107,1,0)</f>
        <v/>
      </c>
      <c r="H107">
        <f>IF(AND(Sales!D107*Sales!E107&gt;5000, INDEX(Products!C:C, MATCH(Sales!C107, Products!A:A, 0))="Electronics"),"High Value","Normal")</f>
        <v/>
      </c>
    </row>
    <row r="108">
      <c r="A108">
        <f>Sales!A108</f>
        <v/>
      </c>
      <c r="B108">
        <f>VLOOKUP(Sales!C108,Products!A:E,2,FALSE)</f>
        <v/>
      </c>
      <c r="C108">
        <f>INDEX(Products!C:C, MATCH(Sales!C108, Products!A:A, 0))</f>
        <v/>
      </c>
      <c r="D108">
        <f>XLOOKUP(Sales!C108, Products!A:A, Products!D:D)</f>
        <v/>
      </c>
      <c r="E108">
        <f>Sales!D108*Sales!E108</f>
        <v/>
      </c>
      <c r="F108">
        <f>MATCH(Sales!C108, Products!A:A, 0)</f>
        <v/>
      </c>
      <c r="G108">
        <f>OFFSET(Sales!E108,1,0)</f>
        <v/>
      </c>
      <c r="H108">
        <f>IF(AND(Sales!D108*Sales!E108&gt;5000, INDEX(Products!C:C, MATCH(Sales!C108, Products!A:A, 0))="Electronics"),"High Value","Normal")</f>
        <v/>
      </c>
    </row>
    <row r="109">
      <c r="A109">
        <f>Sales!A109</f>
        <v/>
      </c>
      <c r="B109">
        <f>VLOOKUP(Sales!C109,Products!A:E,2,FALSE)</f>
        <v/>
      </c>
      <c r="C109">
        <f>INDEX(Products!C:C, MATCH(Sales!C109, Products!A:A, 0))</f>
        <v/>
      </c>
      <c r="D109">
        <f>XLOOKUP(Sales!C109, Products!A:A, Products!D:D)</f>
        <v/>
      </c>
      <c r="E109">
        <f>Sales!D109*Sales!E109</f>
        <v/>
      </c>
      <c r="F109">
        <f>MATCH(Sales!C109, Products!A:A, 0)</f>
        <v/>
      </c>
      <c r="G109">
        <f>OFFSET(Sales!E109,1,0)</f>
        <v/>
      </c>
      <c r="H109">
        <f>IF(AND(Sales!D109*Sales!E109&gt;5000, INDEX(Products!C:C, MATCH(Sales!C109, Products!A:A, 0))="Electronics"),"High Value","Normal")</f>
        <v/>
      </c>
    </row>
    <row r="110">
      <c r="A110">
        <f>Sales!A110</f>
        <v/>
      </c>
      <c r="B110">
        <f>VLOOKUP(Sales!C110,Products!A:E,2,FALSE)</f>
        <v/>
      </c>
      <c r="C110">
        <f>INDEX(Products!C:C, MATCH(Sales!C110, Products!A:A, 0))</f>
        <v/>
      </c>
      <c r="D110">
        <f>XLOOKUP(Sales!C110, Products!A:A, Products!D:D)</f>
        <v/>
      </c>
      <c r="E110">
        <f>Sales!D110*Sales!E110</f>
        <v/>
      </c>
      <c r="F110">
        <f>MATCH(Sales!C110, Products!A:A, 0)</f>
        <v/>
      </c>
      <c r="G110">
        <f>OFFSET(Sales!E110,1,0)</f>
        <v/>
      </c>
      <c r="H110">
        <f>IF(AND(Sales!D110*Sales!E110&gt;5000, INDEX(Products!C:C, MATCH(Sales!C110, Products!A:A, 0))="Electronics"),"High Value","Normal")</f>
        <v/>
      </c>
    </row>
    <row r="111">
      <c r="A111">
        <f>Sales!A111</f>
        <v/>
      </c>
      <c r="B111">
        <f>VLOOKUP(Sales!C111,Products!A:E,2,FALSE)</f>
        <v/>
      </c>
      <c r="C111">
        <f>INDEX(Products!C:C, MATCH(Sales!C111, Products!A:A, 0))</f>
        <v/>
      </c>
      <c r="D111">
        <f>XLOOKUP(Sales!C111, Products!A:A, Products!D:D)</f>
        <v/>
      </c>
      <c r="E111">
        <f>Sales!D111*Sales!E111</f>
        <v/>
      </c>
      <c r="F111">
        <f>MATCH(Sales!C111, Products!A:A, 0)</f>
        <v/>
      </c>
      <c r="G111">
        <f>OFFSET(Sales!E111,1,0)</f>
        <v/>
      </c>
      <c r="H111">
        <f>IF(AND(Sales!D111*Sales!E111&gt;5000, INDEX(Products!C:C, MATCH(Sales!C111, Products!A:A, 0))="Electronics"),"High Value","Normal")</f>
        <v/>
      </c>
    </row>
    <row r="112">
      <c r="A112">
        <f>Sales!A112</f>
        <v/>
      </c>
      <c r="B112">
        <f>VLOOKUP(Sales!C112,Products!A:E,2,FALSE)</f>
        <v/>
      </c>
      <c r="C112">
        <f>INDEX(Products!C:C, MATCH(Sales!C112, Products!A:A, 0))</f>
        <v/>
      </c>
      <c r="D112">
        <f>XLOOKUP(Sales!C112, Products!A:A, Products!D:D)</f>
        <v/>
      </c>
      <c r="E112">
        <f>Sales!D112*Sales!E112</f>
        <v/>
      </c>
      <c r="F112">
        <f>MATCH(Sales!C112, Products!A:A, 0)</f>
        <v/>
      </c>
      <c r="G112">
        <f>OFFSET(Sales!E112,1,0)</f>
        <v/>
      </c>
      <c r="H112">
        <f>IF(AND(Sales!D112*Sales!E112&gt;5000, INDEX(Products!C:C, MATCH(Sales!C112, Products!A:A, 0))="Electronics"),"High Value","Normal")</f>
        <v/>
      </c>
    </row>
    <row r="113">
      <c r="A113">
        <f>Sales!A113</f>
        <v/>
      </c>
      <c r="B113">
        <f>VLOOKUP(Sales!C113,Products!A:E,2,FALSE)</f>
        <v/>
      </c>
      <c r="C113">
        <f>INDEX(Products!C:C, MATCH(Sales!C113, Products!A:A, 0))</f>
        <v/>
      </c>
      <c r="D113">
        <f>XLOOKUP(Sales!C113, Products!A:A, Products!D:D)</f>
        <v/>
      </c>
      <c r="E113">
        <f>Sales!D113*Sales!E113</f>
        <v/>
      </c>
      <c r="F113">
        <f>MATCH(Sales!C113, Products!A:A, 0)</f>
        <v/>
      </c>
      <c r="G113">
        <f>OFFSET(Sales!E113,1,0)</f>
        <v/>
      </c>
      <c r="H113">
        <f>IF(AND(Sales!D113*Sales!E113&gt;5000, INDEX(Products!C:C, MATCH(Sales!C113, Products!A:A, 0))="Electronics"),"High Value","Normal")</f>
        <v/>
      </c>
    </row>
    <row r="114">
      <c r="A114">
        <f>Sales!A114</f>
        <v/>
      </c>
      <c r="B114">
        <f>VLOOKUP(Sales!C114,Products!A:E,2,FALSE)</f>
        <v/>
      </c>
      <c r="C114">
        <f>INDEX(Products!C:C, MATCH(Sales!C114, Products!A:A, 0))</f>
        <v/>
      </c>
      <c r="D114">
        <f>XLOOKUP(Sales!C114, Products!A:A, Products!D:D)</f>
        <v/>
      </c>
      <c r="E114">
        <f>Sales!D114*Sales!E114</f>
        <v/>
      </c>
      <c r="F114">
        <f>MATCH(Sales!C114, Products!A:A, 0)</f>
        <v/>
      </c>
      <c r="G114">
        <f>OFFSET(Sales!E114,1,0)</f>
        <v/>
      </c>
      <c r="H114">
        <f>IF(AND(Sales!D114*Sales!E114&gt;5000, INDEX(Products!C:C, MATCH(Sales!C114, Products!A:A, 0))="Electronics"),"High Value","Normal")</f>
        <v/>
      </c>
    </row>
    <row r="115">
      <c r="A115">
        <f>Sales!A115</f>
        <v/>
      </c>
      <c r="B115">
        <f>VLOOKUP(Sales!C115,Products!A:E,2,FALSE)</f>
        <v/>
      </c>
      <c r="C115">
        <f>INDEX(Products!C:C, MATCH(Sales!C115, Products!A:A, 0))</f>
        <v/>
      </c>
      <c r="D115">
        <f>XLOOKUP(Sales!C115, Products!A:A, Products!D:D)</f>
        <v/>
      </c>
      <c r="E115">
        <f>Sales!D115*Sales!E115</f>
        <v/>
      </c>
      <c r="F115">
        <f>MATCH(Sales!C115, Products!A:A, 0)</f>
        <v/>
      </c>
      <c r="G115">
        <f>OFFSET(Sales!E115,1,0)</f>
        <v/>
      </c>
      <c r="H115">
        <f>IF(AND(Sales!D115*Sales!E115&gt;5000, INDEX(Products!C:C, MATCH(Sales!C115, Products!A:A, 0))="Electronics"),"High Value","Normal")</f>
        <v/>
      </c>
    </row>
    <row r="116">
      <c r="A116">
        <f>Sales!A116</f>
        <v/>
      </c>
      <c r="B116">
        <f>VLOOKUP(Sales!C116,Products!A:E,2,FALSE)</f>
        <v/>
      </c>
      <c r="C116">
        <f>INDEX(Products!C:C, MATCH(Sales!C116, Products!A:A, 0))</f>
        <v/>
      </c>
      <c r="D116">
        <f>XLOOKUP(Sales!C116, Products!A:A, Products!D:D)</f>
        <v/>
      </c>
      <c r="E116">
        <f>Sales!D116*Sales!E116</f>
        <v/>
      </c>
      <c r="F116">
        <f>MATCH(Sales!C116, Products!A:A, 0)</f>
        <v/>
      </c>
      <c r="G116">
        <f>OFFSET(Sales!E116,1,0)</f>
        <v/>
      </c>
      <c r="H116">
        <f>IF(AND(Sales!D116*Sales!E116&gt;5000, INDEX(Products!C:C, MATCH(Sales!C116, Products!A:A, 0))="Electronics"),"High Value","Normal")</f>
        <v/>
      </c>
    </row>
    <row r="117">
      <c r="A117">
        <f>Sales!A117</f>
        <v/>
      </c>
      <c r="B117">
        <f>VLOOKUP(Sales!C117,Products!A:E,2,FALSE)</f>
        <v/>
      </c>
      <c r="C117">
        <f>INDEX(Products!C:C, MATCH(Sales!C117, Products!A:A, 0))</f>
        <v/>
      </c>
      <c r="D117">
        <f>XLOOKUP(Sales!C117, Products!A:A, Products!D:D)</f>
        <v/>
      </c>
      <c r="E117">
        <f>Sales!D117*Sales!E117</f>
        <v/>
      </c>
      <c r="F117">
        <f>MATCH(Sales!C117, Products!A:A, 0)</f>
        <v/>
      </c>
      <c r="G117">
        <f>OFFSET(Sales!E117,1,0)</f>
        <v/>
      </c>
      <c r="H117">
        <f>IF(AND(Sales!D117*Sales!E117&gt;5000, INDEX(Products!C:C, MATCH(Sales!C117, Products!A:A, 0))="Electronics"),"High Value","Normal")</f>
        <v/>
      </c>
    </row>
    <row r="118">
      <c r="A118">
        <f>Sales!A118</f>
        <v/>
      </c>
      <c r="B118">
        <f>VLOOKUP(Sales!C118,Products!A:E,2,FALSE)</f>
        <v/>
      </c>
      <c r="C118">
        <f>INDEX(Products!C:C, MATCH(Sales!C118, Products!A:A, 0))</f>
        <v/>
      </c>
      <c r="D118">
        <f>XLOOKUP(Sales!C118, Products!A:A, Products!D:D)</f>
        <v/>
      </c>
      <c r="E118">
        <f>Sales!D118*Sales!E118</f>
        <v/>
      </c>
      <c r="F118">
        <f>MATCH(Sales!C118, Products!A:A, 0)</f>
        <v/>
      </c>
      <c r="G118">
        <f>OFFSET(Sales!E118,1,0)</f>
        <v/>
      </c>
      <c r="H118">
        <f>IF(AND(Sales!D118*Sales!E118&gt;5000, INDEX(Products!C:C, MATCH(Sales!C118, Products!A:A, 0))="Electronics"),"High Value","Normal")</f>
        <v/>
      </c>
    </row>
    <row r="119">
      <c r="A119">
        <f>Sales!A119</f>
        <v/>
      </c>
      <c r="B119">
        <f>VLOOKUP(Sales!C119,Products!A:E,2,FALSE)</f>
        <v/>
      </c>
      <c r="C119">
        <f>INDEX(Products!C:C, MATCH(Sales!C119, Products!A:A, 0))</f>
        <v/>
      </c>
      <c r="D119">
        <f>XLOOKUP(Sales!C119, Products!A:A, Products!D:D)</f>
        <v/>
      </c>
      <c r="E119">
        <f>Sales!D119*Sales!E119</f>
        <v/>
      </c>
      <c r="F119">
        <f>MATCH(Sales!C119, Products!A:A, 0)</f>
        <v/>
      </c>
      <c r="G119">
        <f>OFFSET(Sales!E119,1,0)</f>
        <v/>
      </c>
      <c r="H119">
        <f>IF(AND(Sales!D119*Sales!E119&gt;5000, INDEX(Products!C:C, MATCH(Sales!C119, Products!A:A, 0))="Electronics"),"High Value","Normal")</f>
        <v/>
      </c>
    </row>
    <row r="120">
      <c r="A120">
        <f>Sales!A120</f>
        <v/>
      </c>
      <c r="B120">
        <f>VLOOKUP(Sales!C120,Products!A:E,2,FALSE)</f>
        <v/>
      </c>
      <c r="C120">
        <f>INDEX(Products!C:C, MATCH(Sales!C120, Products!A:A, 0))</f>
        <v/>
      </c>
      <c r="D120">
        <f>XLOOKUP(Sales!C120, Products!A:A, Products!D:D)</f>
        <v/>
      </c>
      <c r="E120">
        <f>Sales!D120*Sales!E120</f>
        <v/>
      </c>
      <c r="F120">
        <f>MATCH(Sales!C120, Products!A:A, 0)</f>
        <v/>
      </c>
      <c r="G120">
        <f>OFFSET(Sales!E120,1,0)</f>
        <v/>
      </c>
      <c r="H120">
        <f>IF(AND(Sales!D120*Sales!E120&gt;5000, INDEX(Products!C:C, MATCH(Sales!C120, Products!A:A, 0))="Electronics"),"High Value","Normal")</f>
        <v/>
      </c>
    </row>
    <row r="121">
      <c r="A121">
        <f>Sales!A121</f>
        <v/>
      </c>
      <c r="B121">
        <f>VLOOKUP(Sales!C121,Products!A:E,2,FALSE)</f>
        <v/>
      </c>
      <c r="C121">
        <f>INDEX(Products!C:C, MATCH(Sales!C121, Products!A:A, 0))</f>
        <v/>
      </c>
      <c r="D121">
        <f>XLOOKUP(Sales!C121, Products!A:A, Products!D:D)</f>
        <v/>
      </c>
      <c r="E121">
        <f>Sales!D121*Sales!E121</f>
        <v/>
      </c>
      <c r="F121">
        <f>MATCH(Sales!C121, Products!A:A, 0)</f>
        <v/>
      </c>
      <c r="G121">
        <f>OFFSET(Sales!E121,1,0)</f>
        <v/>
      </c>
      <c r="H121">
        <f>IF(AND(Sales!D121*Sales!E121&gt;5000, INDEX(Products!C:C, MATCH(Sales!C121, Products!A:A, 0))="Electronics"),"High Value","Normal")</f>
        <v/>
      </c>
    </row>
    <row r="122">
      <c r="A122">
        <f>Sales!A122</f>
        <v/>
      </c>
      <c r="B122">
        <f>VLOOKUP(Sales!C122,Products!A:E,2,FALSE)</f>
        <v/>
      </c>
      <c r="C122">
        <f>INDEX(Products!C:C, MATCH(Sales!C122, Products!A:A, 0))</f>
        <v/>
      </c>
      <c r="D122">
        <f>XLOOKUP(Sales!C122, Products!A:A, Products!D:D)</f>
        <v/>
      </c>
      <c r="E122">
        <f>Sales!D122*Sales!E122</f>
        <v/>
      </c>
      <c r="F122">
        <f>MATCH(Sales!C122, Products!A:A, 0)</f>
        <v/>
      </c>
      <c r="G122">
        <f>OFFSET(Sales!E122,1,0)</f>
        <v/>
      </c>
      <c r="H122">
        <f>IF(AND(Sales!D122*Sales!E122&gt;5000, INDEX(Products!C:C, MATCH(Sales!C122, Products!A:A, 0))="Electronics"),"High Value","Normal")</f>
        <v/>
      </c>
    </row>
    <row r="123">
      <c r="A123">
        <f>Sales!A123</f>
        <v/>
      </c>
      <c r="B123">
        <f>VLOOKUP(Sales!C123,Products!A:E,2,FALSE)</f>
        <v/>
      </c>
      <c r="C123">
        <f>INDEX(Products!C:C, MATCH(Sales!C123, Products!A:A, 0))</f>
        <v/>
      </c>
      <c r="D123">
        <f>XLOOKUP(Sales!C123, Products!A:A, Products!D:D)</f>
        <v/>
      </c>
      <c r="E123">
        <f>Sales!D123*Sales!E123</f>
        <v/>
      </c>
      <c r="F123">
        <f>MATCH(Sales!C123, Products!A:A, 0)</f>
        <v/>
      </c>
      <c r="G123">
        <f>OFFSET(Sales!E123,1,0)</f>
        <v/>
      </c>
      <c r="H123">
        <f>IF(AND(Sales!D123*Sales!E123&gt;5000, INDEX(Products!C:C, MATCH(Sales!C123, Products!A:A, 0))="Electronics"),"High Value","Normal")</f>
        <v/>
      </c>
    </row>
    <row r="124">
      <c r="A124">
        <f>Sales!A124</f>
        <v/>
      </c>
      <c r="B124">
        <f>VLOOKUP(Sales!C124,Products!A:E,2,FALSE)</f>
        <v/>
      </c>
      <c r="C124">
        <f>INDEX(Products!C:C, MATCH(Sales!C124, Products!A:A, 0))</f>
        <v/>
      </c>
      <c r="D124">
        <f>XLOOKUP(Sales!C124, Products!A:A, Products!D:D)</f>
        <v/>
      </c>
      <c r="E124">
        <f>Sales!D124*Sales!E124</f>
        <v/>
      </c>
      <c r="F124">
        <f>MATCH(Sales!C124, Products!A:A, 0)</f>
        <v/>
      </c>
      <c r="G124">
        <f>OFFSET(Sales!E124,1,0)</f>
        <v/>
      </c>
      <c r="H124">
        <f>IF(AND(Sales!D124*Sales!E124&gt;5000, INDEX(Products!C:C, MATCH(Sales!C124, Products!A:A, 0))="Electronics"),"High Value","Normal")</f>
        <v/>
      </c>
    </row>
    <row r="125">
      <c r="A125">
        <f>Sales!A125</f>
        <v/>
      </c>
      <c r="B125">
        <f>VLOOKUP(Sales!C125,Products!A:E,2,FALSE)</f>
        <v/>
      </c>
      <c r="C125">
        <f>INDEX(Products!C:C, MATCH(Sales!C125, Products!A:A, 0))</f>
        <v/>
      </c>
      <c r="D125">
        <f>XLOOKUP(Sales!C125, Products!A:A, Products!D:D)</f>
        <v/>
      </c>
      <c r="E125">
        <f>Sales!D125*Sales!E125</f>
        <v/>
      </c>
      <c r="F125">
        <f>MATCH(Sales!C125, Products!A:A, 0)</f>
        <v/>
      </c>
      <c r="G125">
        <f>OFFSET(Sales!E125,1,0)</f>
        <v/>
      </c>
      <c r="H125">
        <f>IF(AND(Sales!D125*Sales!E125&gt;5000, INDEX(Products!C:C, MATCH(Sales!C125, Products!A:A, 0))="Electronics"),"High Value","Normal")</f>
        <v/>
      </c>
    </row>
    <row r="126">
      <c r="A126">
        <f>Sales!A126</f>
        <v/>
      </c>
      <c r="B126">
        <f>VLOOKUP(Sales!C126,Products!A:E,2,FALSE)</f>
        <v/>
      </c>
      <c r="C126">
        <f>INDEX(Products!C:C, MATCH(Sales!C126, Products!A:A, 0))</f>
        <v/>
      </c>
      <c r="D126">
        <f>XLOOKUP(Sales!C126, Products!A:A, Products!D:D)</f>
        <v/>
      </c>
      <c r="E126">
        <f>Sales!D126*Sales!E126</f>
        <v/>
      </c>
      <c r="F126">
        <f>MATCH(Sales!C126, Products!A:A, 0)</f>
        <v/>
      </c>
      <c r="G126">
        <f>OFFSET(Sales!E126,1,0)</f>
        <v/>
      </c>
      <c r="H126">
        <f>IF(AND(Sales!D126*Sales!E126&gt;5000, INDEX(Products!C:C, MATCH(Sales!C126, Products!A:A, 0))="Electronics"),"High Value","Normal")</f>
        <v/>
      </c>
    </row>
    <row r="127">
      <c r="A127">
        <f>Sales!A127</f>
        <v/>
      </c>
      <c r="B127">
        <f>VLOOKUP(Sales!C127,Products!A:E,2,FALSE)</f>
        <v/>
      </c>
      <c r="C127">
        <f>INDEX(Products!C:C, MATCH(Sales!C127, Products!A:A, 0))</f>
        <v/>
      </c>
      <c r="D127">
        <f>XLOOKUP(Sales!C127, Products!A:A, Products!D:D)</f>
        <v/>
      </c>
      <c r="E127">
        <f>Sales!D127*Sales!E127</f>
        <v/>
      </c>
      <c r="F127">
        <f>MATCH(Sales!C127, Products!A:A, 0)</f>
        <v/>
      </c>
      <c r="G127">
        <f>OFFSET(Sales!E127,1,0)</f>
        <v/>
      </c>
      <c r="H127">
        <f>IF(AND(Sales!D127*Sales!E127&gt;5000, INDEX(Products!C:C, MATCH(Sales!C127, Products!A:A, 0))="Electronics"),"High Value","Normal")</f>
        <v/>
      </c>
    </row>
    <row r="128">
      <c r="A128">
        <f>Sales!A128</f>
        <v/>
      </c>
      <c r="B128">
        <f>VLOOKUP(Sales!C128,Products!A:E,2,FALSE)</f>
        <v/>
      </c>
      <c r="C128">
        <f>INDEX(Products!C:C, MATCH(Sales!C128, Products!A:A, 0))</f>
        <v/>
      </c>
      <c r="D128">
        <f>XLOOKUP(Sales!C128, Products!A:A, Products!D:D)</f>
        <v/>
      </c>
      <c r="E128">
        <f>Sales!D128*Sales!E128</f>
        <v/>
      </c>
      <c r="F128">
        <f>MATCH(Sales!C128, Products!A:A, 0)</f>
        <v/>
      </c>
      <c r="G128">
        <f>OFFSET(Sales!E128,1,0)</f>
        <v/>
      </c>
      <c r="H128">
        <f>IF(AND(Sales!D128*Sales!E128&gt;5000, INDEX(Products!C:C, MATCH(Sales!C128, Products!A:A, 0))="Electronics"),"High Value","Normal")</f>
        <v/>
      </c>
    </row>
    <row r="129">
      <c r="A129">
        <f>Sales!A129</f>
        <v/>
      </c>
      <c r="B129">
        <f>VLOOKUP(Sales!C129,Products!A:E,2,FALSE)</f>
        <v/>
      </c>
      <c r="C129">
        <f>INDEX(Products!C:C, MATCH(Sales!C129, Products!A:A, 0))</f>
        <v/>
      </c>
      <c r="D129">
        <f>XLOOKUP(Sales!C129, Products!A:A, Products!D:D)</f>
        <v/>
      </c>
      <c r="E129">
        <f>Sales!D129*Sales!E129</f>
        <v/>
      </c>
      <c r="F129">
        <f>MATCH(Sales!C129, Products!A:A, 0)</f>
        <v/>
      </c>
      <c r="G129">
        <f>OFFSET(Sales!E129,1,0)</f>
        <v/>
      </c>
      <c r="H129">
        <f>IF(AND(Sales!D129*Sales!E129&gt;5000, INDEX(Products!C:C, MATCH(Sales!C129, Products!A:A, 0))="Electronics"),"High Value","Normal")</f>
        <v/>
      </c>
    </row>
    <row r="130">
      <c r="A130">
        <f>Sales!A130</f>
        <v/>
      </c>
      <c r="B130">
        <f>VLOOKUP(Sales!C130,Products!A:E,2,FALSE)</f>
        <v/>
      </c>
      <c r="C130">
        <f>INDEX(Products!C:C, MATCH(Sales!C130, Products!A:A, 0))</f>
        <v/>
      </c>
      <c r="D130">
        <f>XLOOKUP(Sales!C130, Products!A:A, Products!D:D)</f>
        <v/>
      </c>
      <c r="E130">
        <f>Sales!D130*Sales!E130</f>
        <v/>
      </c>
      <c r="F130">
        <f>MATCH(Sales!C130, Products!A:A, 0)</f>
        <v/>
      </c>
      <c r="G130">
        <f>OFFSET(Sales!E130,1,0)</f>
        <v/>
      </c>
      <c r="H130">
        <f>IF(AND(Sales!D130*Sales!E130&gt;5000, INDEX(Products!C:C, MATCH(Sales!C130, Products!A:A, 0))="Electronics"),"High Value","Normal")</f>
        <v/>
      </c>
    </row>
    <row r="131">
      <c r="A131">
        <f>Sales!A131</f>
        <v/>
      </c>
      <c r="B131">
        <f>VLOOKUP(Sales!C131,Products!A:E,2,FALSE)</f>
        <v/>
      </c>
      <c r="C131">
        <f>INDEX(Products!C:C, MATCH(Sales!C131, Products!A:A, 0))</f>
        <v/>
      </c>
      <c r="D131">
        <f>XLOOKUP(Sales!C131, Products!A:A, Products!D:D)</f>
        <v/>
      </c>
      <c r="E131">
        <f>Sales!D131*Sales!E131</f>
        <v/>
      </c>
      <c r="F131">
        <f>MATCH(Sales!C131, Products!A:A, 0)</f>
        <v/>
      </c>
      <c r="G131">
        <f>OFFSET(Sales!E131,1,0)</f>
        <v/>
      </c>
      <c r="H131">
        <f>IF(AND(Sales!D131*Sales!E131&gt;5000, INDEX(Products!C:C, MATCH(Sales!C131, Products!A:A, 0))="Electronics"),"High Value","Normal")</f>
        <v/>
      </c>
    </row>
    <row r="132">
      <c r="A132">
        <f>Sales!A132</f>
        <v/>
      </c>
      <c r="B132">
        <f>VLOOKUP(Sales!C132,Products!A:E,2,FALSE)</f>
        <v/>
      </c>
      <c r="C132">
        <f>INDEX(Products!C:C, MATCH(Sales!C132, Products!A:A, 0))</f>
        <v/>
      </c>
      <c r="D132">
        <f>XLOOKUP(Sales!C132, Products!A:A, Products!D:D)</f>
        <v/>
      </c>
      <c r="E132">
        <f>Sales!D132*Sales!E132</f>
        <v/>
      </c>
      <c r="F132">
        <f>MATCH(Sales!C132, Products!A:A, 0)</f>
        <v/>
      </c>
      <c r="G132">
        <f>OFFSET(Sales!E132,1,0)</f>
        <v/>
      </c>
      <c r="H132">
        <f>IF(AND(Sales!D132*Sales!E132&gt;5000, INDEX(Products!C:C, MATCH(Sales!C132, Products!A:A, 0))="Electronics"),"High Value","Normal")</f>
        <v/>
      </c>
    </row>
    <row r="133">
      <c r="A133">
        <f>Sales!A133</f>
        <v/>
      </c>
      <c r="B133">
        <f>VLOOKUP(Sales!C133,Products!A:E,2,FALSE)</f>
        <v/>
      </c>
      <c r="C133">
        <f>INDEX(Products!C:C, MATCH(Sales!C133, Products!A:A, 0))</f>
        <v/>
      </c>
      <c r="D133">
        <f>XLOOKUP(Sales!C133, Products!A:A, Products!D:D)</f>
        <v/>
      </c>
      <c r="E133">
        <f>Sales!D133*Sales!E133</f>
        <v/>
      </c>
      <c r="F133">
        <f>MATCH(Sales!C133, Products!A:A, 0)</f>
        <v/>
      </c>
      <c r="G133">
        <f>OFFSET(Sales!E133,1,0)</f>
        <v/>
      </c>
      <c r="H133">
        <f>IF(AND(Sales!D133*Sales!E133&gt;5000, INDEX(Products!C:C, MATCH(Sales!C133, Products!A:A, 0))="Electronics"),"High Value","Normal")</f>
        <v/>
      </c>
    </row>
    <row r="134">
      <c r="A134">
        <f>Sales!A134</f>
        <v/>
      </c>
      <c r="B134">
        <f>VLOOKUP(Sales!C134,Products!A:E,2,FALSE)</f>
        <v/>
      </c>
      <c r="C134">
        <f>INDEX(Products!C:C, MATCH(Sales!C134, Products!A:A, 0))</f>
        <v/>
      </c>
      <c r="D134">
        <f>XLOOKUP(Sales!C134, Products!A:A, Products!D:D)</f>
        <v/>
      </c>
      <c r="E134">
        <f>Sales!D134*Sales!E134</f>
        <v/>
      </c>
      <c r="F134">
        <f>MATCH(Sales!C134, Products!A:A, 0)</f>
        <v/>
      </c>
      <c r="G134">
        <f>OFFSET(Sales!E134,1,0)</f>
        <v/>
      </c>
      <c r="H134">
        <f>IF(AND(Sales!D134*Sales!E134&gt;5000, INDEX(Products!C:C, MATCH(Sales!C134, Products!A:A, 0))="Electronics"),"High Value","Normal")</f>
        <v/>
      </c>
    </row>
    <row r="135">
      <c r="A135">
        <f>Sales!A135</f>
        <v/>
      </c>
      <c r="B135">
        <f>VLOOKUP(Sales!C135,Products!A:E,2,FALSE)</f>
        <v/>
      </c>
      <c r="C135">
        <f>INDEX(Products!C:C, MATCH(Sales!C135, Products!A:A, 0))</f>
        <v/>
      </c>
      <c r="D135">
        <f>XLOOKUP(Sales!C135, Products!A:A, Products!D:D)</f>
        <v/>
      </c>
      <c r="E135">
        <f>Sales!D135*Sales!E135</f>
        <v/>
      </c>
      <c r="F135">
        <f>MATCH(Sales!C135, Products!A:A, 0)</f>
        <v/>
      </c>
      <c r="G135">
        <f>OFFSET(Sales!E135,1,0)</f>
        <v/>
      </c>
      <c r="H135">
        <f>IF(AND(Sales!D135*Sales!E135&gt;5000, INDEX(Products!C:C, MATCH(Sales!C135, Products!A:A, 0))="Electronics"),"High Value","Normal")</f>
        <v/>
      </c>
    </row>
    <row r="136">
      <c r="A136">
        <f>Sales!A136</f>
        <v/>
      </c>
      <c r="B136">
        <f>VLOOKUP(Sales!C136,Products!A:E,2,FALSE)</f>
        <v/>
      </c>
      <c r="C136">
        <f>INDEX(Products!C:C, MATCH(Sales!C136, Products!A:A, 0))</f>
        <v/>
      </c>
      <c r="D136">
        <f>XLOOKUP(Sales!C136, Products!A:A, Products!D:D)</f>
        <v/>
      </c>
      <c r="E136">
        <f>Sales!D136*Sales!E136</f>
        <v/>
      </c>
      <c r="F136">
        <f>MATCH(Sales!C136, Products!A:A, 0)</f>
        <v/>
      </c>
      <c r="G136">
        <f>OFFSET(Sales!E136,1,0)</f>
        <v/>
      </c>
      <c r="H136">
        <f>IF(AND(Sales!D136*Sales!E136&gt;5000, INDEX(Products!C:C, MATCH(Sales!C136, Products!A:A, 0))="Electronics"),"High Value","Normal")</f>
        <v/>
      </c>
    </row>
    <row r="137">
      <c r="A137">
        <f>Sales!A137</f>
        <v/>
      </c>
      <c r="B137">
        <f>VLOOKUP(Sales!C137,Products!A:E,2,FALSE)</f>
        <v/>
      </c>
      <c r="C137">
        <f>INDEX(Products!C:C, MATCH(Sales!C137, Products!A:A, 0))</f>
        <v/>
      </c>
      <c r="D137">
        <f>XLOOKUP(Sales!C137, Products!A:A, Products!D:D)</f>
        <v/>
      </c>
      <c r="E137">
        <f>Sales!D137*Sales!E137</f>
        <v/>
      </c>
      <c r="F137">
        <f>MATCH(Sales!C137, Products!A:A, 0)</f>
        <v/>
      </c>
      <c r="G137">
        <f>OFFSET(Sales!E137,1,0)</f>
        <v/>
      </c>
      <c r="H137">
        <f>IF(AND(Sales!D137*Sales!E137&gt;5000, INDEX(Products!C:C, MATCH(Sales!C137, Products!A:A, 0))="Electronics"),"High Value","Normal")</f>
        <v/>
      </c>
    </row>
    <row r="138">
      <c r="A138">
        <f>Sales!A138</f>
        <v/>
      </c>
      <c r="B138">
        <f>VLOOKUP(Sales!C138,Products!A:E,2,FALSE)</f>
        <v/>
      </c>
      <c r="C138">
        <f>INDEX(Products!C:C, MATCH(Sales!C138, Products!A:A, 0))</f>
        <v/>
      </c>
      <c r="D138">
        <f>XLOOKUP(Sales!C138, Products!A:A, Products!D:D)</f>
        <v/>
      </c>
      <c r="E138">
        <f>Sales!D138*Sales!E138</f>
        <v/>
      </c>
      <c r="F138">
        <f>MATCH(Sales!C138, Products!A:A, 0)</f>
        <v/>
      </c>
      <c r="G138">
        <f>OFFSET(Sales!E138,1,0)</f>
        <v/>
      </c>
      <c r="H138">
        <f>IF(AND(Sales!D138*Sales!E138&gt;5000, INDEX(Products!C:C, MATCH(Sales!C138, Products!A:A, 0))="Electronics"),"High Value","Normal")</f>
        <v/>
      </c>
    </row>
    <row r="139">
      <c r="A139">
        <f>Sales!A139</f>
        <v/>
      </c>
      <c r="B139">
        <f>VLOOKUP(Sales!C139,Products!A:E,2,FALSE)</f>
        <v/>
      </c>
      <c r="C139">
        <f>INDEX(Products!C:C, MATCH(Sales!C139, Products!A:A, 0))</f>
        <v/>
      </c>
      <c r="D139">
        <f>XLOOKUP(Sales!C139, Products!A:A, Products!D:D)</f>
        <v/>
      </c>
      <c r="E139">
        <f>Sales!D139*Sales!E139</f>
        <v/>
      </c>
      <c r="F139">
        <f>MATCH(Sales!C139, Products!A:A, 0)</f>
        <v/>
      </c>
      <c r="G139">
        <f>OFFSET(Sales!E139,1,0)</f>
        <v/>
      </c>
      <c r="H139">
        <f>IF(AND(Sales!D139*Sales!E139&gt;5000, INDEX(Products!C:C, MATCH(Sales!C139, Products!A:A, 0))="Electronics"),"High Value","Normal")</f>
        <v/>
      </c>
    </row>
    <row r="140">
      <c r="A140">
        <f>Sales!A140</f>
        <v/>
      </c>
      <c r="B140">
        <f>VLOOKUP(Sales!C140,Products!A:E,2,FALSE)</f>
        <v/>
      </c>
      <c r="C140">
        <f>INDEX(Products!C:C, MATCH(Sales!C140, Products!A:A, 0))</f>
        <v/>
      </c>
      <c r="D140">
        <f>XLOOKUP(Sales!C140, Products!A:A, Products!D:D)</f>
        <v/>
      </c>
      <c r="E140">
        <f>Sales!D140*Sales!E140</f>
        <v/>
      </c>
      <c r="F140">
        <f>MATCH(Sales!C140, Products!A:A, 0)</f>
        <v/>
      </c>
      <c r="G140">
        <f>OFFSET(Sales!E140,1,0)</f>
        <v/>
      </c>
      <c r="H140">
        <f>IF(AND(Sales!D140*Sales!E140&gt;5000, INDEX(Products!C:C, MATCH(Sales!C140, Products!A:A, 0))="Electronics"),"High Value","Normal")</f>
        <v/>
      </c>
    </row>
    <row r="141">
      <c r="A141">
        <f>Sales!A141</f>
        <v/>
      </c>
      <c r="B141">
        <f>VLOOKUP(Sales!C141,Products!A:E,2,FALSE)</f>
        <v/>
      </c>
      <c r="C141">
        <f>INDEX(Products!C:C, MATCH(Sales!C141, Products!A:A, 0))</f>
        <v/>
      </c>
      <c r="D141">
        <f>XLOOKUP(Sales!C141, Products!A:A, Products!D:D)</f>
        <v/>
      </c>
      <c r="E141">
        <f>Sales!D141*Sales!E141</f>
        <v/>
      </c>
      <c r="F141">
        <f>MATCH(Sales!C141, Products!A:A, 0)</f>
        <v/>
      </c>
      <c r="G141">
        <f>OFFSET(Sales!E141,1,0)</f>
        <v/>
      </c>
      <c r="H141">
        <f>IF(AND(Sales!D141*Sales!E141&gt;5000, INDEX(Products!C:C, MATCH(Sales!C141, Products!A:A, 0))="Electronics"),"High Value","Normal")</f>
        <v/>
      </c>
    </row>
    <row r="142">
      <c r="A142">
        <f>Sales!A142</f>
        <v/>
      </c>
      <c r="B142">
        <f>VLOOKUP(Sales!C142,Products!A:E,2,FALSE)</f>
        <v/>
      </c>
      <c r="C142">
        <f>INDEX(Products!C:C, MATCH(Sales!C142, Products!A:A, 0))</f>
        <v/>
      </c>
      <c r="D142">
        <f>XLOOKUP(Sales!C142, Products!A:A, Products!D:D)</f>
        <v/>
      </c>
      <c r="E142">
        <f>Sales!D142*Sales!E142</f>
        <v/>
      </c>
      <c r="F142">
        <f>MATCH(Sales!C142, Products!A:A, 0)</f>
        <v/>
      </c>
      <c r="G142">
        <f>OFFSET(Sales!E142,1,0)</f>
        <v/>
      </c>
      <c r="H142">
        <f>IF(AND(Sales!D142*Sales!E142&gt;5000, INDEX(Products!C:C, MATCH(Sales!C142, Products!A:A, 0))="Electronics"),"High Value","Normal")</f>
        <v/>
      </c>
    </row>
    <row r="143">
      <c r="A143">
        <f>Sales!A143</f>
        <v/>
      </c>
      <c r="B143">
        <f>VLOOKUP(Sales!C143,Products!A:E,2,FALSE)</f>
        <v/>
      </c>
      <c r="C143">
        <f>INDEX(Products!C:C, MATCH(Sales!C143, Products!A:A, 0))</f>
        <v/>
      </c>
      <c r="D143">
        <f>XLOOKUP(Sales!C143, Products!A:A, Products!D:D)</f>
        <v/>
      </c>
      <c r="E143">
        <f>Sales!D143*Sales!E143</f>
        <v/>
      </c>
      <c r="F143">
        <f>MATCH(Sales!C143, Products!A:A, 0)</f>
        <v/>
      </c>
      <c r="G143">
        <f>OFFSET(Sales!E143,1,0)</f>
        <v/>
      </c>
      <c r="H143">
        <f>IF(AND(Sales!D143*Sales!E143&gt;5000, INDEX(Products!C:C, MATCH(Sales!C143, Products!A:A, 0))="Electronics"),"High Value","Normal")</f>
        <v/>
      </c>
    </row>
    <row r="144">
      <c r="A144">
        <f>Sales!A144</f>
        <v/>
      </c>
      <c r="B144">
        <f>VLOOKUP(Sales!C144,Products!A:E,2,FALSE)</f>
        <v/>
      </c>
      <c r="C144">
        <f>INDEX(Products!C:C, MATCH(Sales!C144, Products!A:A, 0))</f>
        <v/>
      </c>
      <c r="D144">
        <f>XLOOKUP(Sales!C144, Products!A:A, Products!D:D)</f>
        <v/>
      </c>
      <c r="E144">
        <f>Sales!D144*Sales!E144</f>
        <v/>
      </c>
      <c r="F144">
        <f>MATCH(Sales!C144, Products!A:A, 0)</f>
        <v/>
      </c>
      <c r="G144">
        <f>OFFSET(Sales!E144,1,0)</f>
        <v/>
      </c>
      <c r="H144">
        <f>IF(AND(Sales!D144*Sales!E144&gt;5000, INDEX(Products!C:C, MATCH(Sales!C144, Products!A:A, 0))="Electronics"),"High Value","Normal")</f>
        <v/>
      </c>
    </row>
    <row r="145">
      <c r="A145">
        <f>Sales!A145</f>
        <v/>
      </c>
      <c r="B145">
        <f>VLOOKUP(Sales!C145,Products!A:E,2,FALSE)</f>
        <v/>
      </c>
      <c r="C145">
        <f>INDEX(Products!C:C, MATCH(Sales!C145, Products!A:A, 0))</f>
        <v/>
      </c>
      <c r="D145">
        <f>XLOOKUP(Sales!C145, Products!A:A, Products!D:D)</f>
        <v/>
      </c>
      <c r="E145">
        <f>Sales!D145*Sales!E145</f>
        <v/>
      </c>
      <c r="F145">
        <f>MATCH(Sales!C145, Products!A:A, 0)</f>
        <v/>
      </c>
      <c r="G145">
        <f>OFFSET(Sales!E145,1,0)</f>
        <v/>
      </c>
      <c r="H145">
        <f>IF(AND(Sales!D145*Sales!E145&gt;5000, INDEX(Products!C:C, MATCH(Sales!C145, Products!A:A, 0))="Electronics"),"High Value","Normal")</f>
        <v/>
      </c>
    </row>
    <row r="146">
      <c r="A146">
        <f>Sales!A146</f>
        <v/>
      </c>
      <c r="B146">
        <f>VLOOKUP(Sales!C146,Products!A:E,2,FALSE)</f>
        <v/>
      </c>
      <c r="C146">
        <f>INDEX(Products!C:C, MATCH(Sales!C146, Products!A:A, 0))</f>
        <v/>
      </c>
      <c r="D146">
        <f>XLOOKUP(Sales!C146, Products!A:A, Products!D:D)</f>
        <v/>
      </c>
      <c r="E146">
        <f>Sales!D146*Sales!E146</f>
        <v/>
      </c>
      <c r="F146">
        <f>MATCH(Sales!C146, Products!A:A, 0)</f>
        <v/>
      </c>
      <c r="G146">
        <f>OFFSET(Sales!E146,1,0)</f>
        <v/>
      </c>
      <c r="H146">
        <f>IF(AND(Sales!D146*Sales!E146&gt;5000, INDEX(Products!C:C, MATCH(Sales!C146, Products!A:A, 0))="Electronics"),"High Value","Normal")</f>
        <v/>
      </c>
    </row>
    <row r="147">
      <c r="A147">
        <f>Sales!A147</f>
        <v/>
      </c>
      <c r="B147">
        <f>VLOOKUP(Sales!C147,Products!A:E,2,FALSE)</f>
        <v/>
      </c>
      <c r="C147">
        <f>INDEX(Products!C:C, MATCH(Sales!C147, Products!A:A, 0))</f>
        <v/>
      </c>
      <c r="D147">
        <f>XLOOKUP(Sales!C147, Products!A:A, Products!D:D)</f>
        <v/>
      </c>
      <c r="E147">
        <f>Sales!D147*Sales!E147</f>
        <v/>
      </c>
      <c r="F147">
        <f>MATCH(Sales!C147, Products!A:A, 0)</f>
        <v/>
      </c>
      <c r="G147">
        <f>OFFSET(Sales!E147,1,0)</f>
        <v/>
      </c>
      <c r="H147">
        <f>IF(AND(Sales!D147*Sales!E147&gt;5000, INDEX(Products!C:C, MATCH(Sales!C147, Products!A:A, 0))="Electronics"),"High Value","Normal")</f>
        <v/>
      </c>
    </row>
    <row r="148">
      <c r="A148">
        <f>Sales!A148</f>
        <v/>
      </c>
      <c r="B148">
        <f>VLOOKUP(Sales!C148,Products!A:E,2,FALSE)</f>
        <v/>
      </c>
      <c r="C148">
        <f>INDEX(Products!C:C, MATCH(Sales!C148, Products!A:A, 0))</f>
        <v/>
      </c>
      <c r="D148">
        <f>XLOOKUP(Sales!C148, Products!A:A, Products!D:D)</f>
        <v/>
      </c>
      <c r="E148">
        <f>Sales!D148*Sales!E148</f>
        <v/>
      </c>
      <c r="F148">
        <f>MATCH(Sales!C148, Products!A:A, 0)</f>
        <v/>
      </c>
      <c r="G148">
        <f>OFFSET(Sales!E148,1,0)</f>
        <v/>
      </c>
      <c r="H148">
        <f>IF(AND(Sales!D148*Sales!E148&gt;5000, INDEX(Products!C:C, MATCH(Sales!C148, Products!A:A, 0))="Electronics"),"High Value","Normal")</f>
        <v/>
      </c>
    </row>
    <row r="149">
      <c r="A149">
        <f>Sales!A149</f>
        <v/>
      </c>
      <c r="B149">
        <f>VLOOKUP(Sales!C149,Products!A:E,2,FALSE)</f>
        <v/>
      </c>
      <c r="C149">
        <f>INDEX(Products!C:C, MATCH(Sales!C149, Products!A:A, 0))</f>
        <v/>
      </c>
      <c r="D149">
        <f>XLOOKUP(Sales!C149, Products!A:A, Products!D:D)</f>
        <v/>
      </c>
      <c r="E149">
        <f>Sales!D149*Sales!E149</f>
        <v/>
      </c>
      <c r="F149">
        <f>MATCH(Sales!C149, Products!A:A, 0)</f>
        <v/>
      </c>
      <c r="G149">
        <f>OFFSET(Sales!E149,1,0)</f>
        <v/>
      </c>
      <c r="H149">
        <f>IF(AND(Sales!D149*Sales!E149&gt;5000, INDEX(Products!C:C, MATCH(Sales!C149, Products!A:A, 0))="Electronics"),"High Value","Normal")</f>
        <v/>
      </c>
    </row>
    <row r="150">
      <c r="A150">
        <f>Sales!A150</f>
        <v/>
      </c>
      <c r="B150">
        <f>VLOOKUP(Sales!C150,Products!A:E,2,FALSE)</f>
        <v/>
      </c>
      <c r="C150">
        <f>INDEX(Products!C:C, MATCH(Sales!C150, Products!A:A, 0))</f>
        <v/>
      </c>
      <c r="D150">
        <f>XLOOKUP(Sales!C150, Products!A:A, Products!D:D)</f>
        <v/>
      </c>
      <c r="E150">
        <f>Sales!D150*Sales!E150</f>
        <v/>
      </c>
      <c r="F150">
        <f>MATCH(Sales!C150, Products!A:A, 0)</f>
        <v/>
      </c>
      <c r="G150">
        <f>OFFSET(Sales!E150,1,0)</f>
        <v/>
      </c>
      <c r="H150">
        <f>IF(AND(Sales!D150*Sales!E150&gt;5000, INDEX(Products!C:C, MATCH(Sales!C150, Products!A:A, 0))="Electronics"),"High Value","Normal")</f>
        <v/>
      </c>
    </row>
    <row r="151">
      <c r="A151">
        <f>Sales!A151</f>
        <v/>
      </c>
      <c r="B151">
        <f>VLOOKUP(Sales!C151,Products!A:E,2,FALSE)</f>
        <v/>
      </c>
      <c r="C151">
        <f>INDEX(Products!C:C, MATCH(Sales!C151, Products!A:A, 0))</f>
        <v/>
      </c>
      <c r="D151">
        <f>XLOOKUP(Sales!C151, Products!A:A, Products!D:D)</f>
        <v/>
      </c>
      <c r="E151">
        <f>Sales!D151*Sales!E151</f>
        <v/>
      </c>
      <c r="F151">
        <f>MATCH(Sales!C151, Products!A:A, 0)</f>
        <v/>
      </c>
      <c r="G151">
        <f>OFFSET(Sales!E151,1,0)</f>
        <v/>
      </c>
      <c r="H151">
        <f>IF(AND(Sales!D151*Sales!E151&gt;5000, INDEX(Products!C:C, MATCH(Sales!C151, Products!A:A, 0))="Electronics"),"High Value","Normal")</f>
        <v/>
      </c>
    </row>
    <row r="152">
      <c r="A152">
        <f>Sales!A152</f>
        <v/>
      </c>
      <c r="B152">
        <f>VLOOKUP(Sales!C152,Products!A:E,2,FALSE)</f>
        <v/>
      </c>
      <c r="C152">
        <f>INDEX(Products!C:C, MATCH(Sales!C152, Products!A:A, 0))</f>
        <v/>
      </c>
      <c r="D152">
        <f>XLOOKUP(Sales!C152, Products!A:A, Products!D:D)</f>
        <v/>
      </c>
      <c r="E152">
        <f>Sales!D152*Sales!E152</f>
        <v/>
      </c>
      <c r="F152">
        <f>MATCH(Sales!C152, Products!A:A, 0)</f>
        <v/>
      </c>
      <c r="G152">
        <f>OFFSET(Sales!E152,1,0)</f>
        <v/>
      </c>
      <c r="H152">
        <f>IF(AND(Sales!D152*Sales!E152&gt;5000, INDEX(Products!C:C, MATCH(Sales!C152, Products!A:A, 0))="Electronics"),"High Value","Normal")</f>
        <v/>
      </c>
    </row>
    <row r="153">
      <c r="A153">
        <f>Sales!A153</f>
        <v/>
      </c>
      <c r="B153">
        <f>VLOOKUP(Sales!C153,Products!A:E,2,FALSE)</f>
        <v/>
      </c>
      <c r="C153">
        <f>INDEX(Products!C:C, MATCH(Sales!C153, Products!A:A, 0))</f>
        <v/>
      </c>
      <c r="D153">
        <f>XLOOKUP(Sales!C153, Products!A:A, Products!D:D)</f>
        <v/>
      </c>
      <c r="E153">
        <f>Sales!D153*Sales!E153</f>
        <v/>
      </c>
      <c r="F153">
        <f>MATCH(Sales!C153, Products!A:A, 0)</f>
        <v/>
      </c>
      <c r="G153">
        <f>OFFSET(Sales!E153,1,0)</f>
        <v/>
      </c>
      <c r="H153">
        <f>IF(AND(Sales!D153*Sales!E153&gt;5000, INDEX(Products!C:C, MATCH(Sales!C153, Products!A:A, 0))="Electronics"),"High Value","Normal")</f>
        <v/>
      </c>
    </row>
    <row r="154">
      <c r="A154">
        <f>Sales!A154</f>
        <v/>
      </c>
      <c r="B154">
        <f>VLOOKUP(Sales!C154,Products!A:E,2,FALSE)</f>
        <v/>
      </c>
      <c r="C154">
        <f>INDEX(Products!C:C, MATCH(Sales!C154, Products!A:A, 0))</f>
        <v/>
      </c>
      <c r="D154">
        <f>XLOOKUP(Sales!C154, Products!A:A, Products!D:D)</f>
        <v/>
      </c>
      <c r="E154">
        <f>Sales!D154*Sales!E154</f>
        <v/>
      </c>
      <c r="F154">
        <f>MATCH(Sales!C154, Products!A:A, 0)</f>
        <v/>
      </c>
      <c r="G154">
        <f>OFFSET(Sales!E154,1,0)</f>
        <v/>
      </c>
      <c r="H154">
        <f>IF(AND(Sales!D154*Sales!E154&gt;5000, INDEX(Products!C:C, MATCH(Sales!C154, Products!A:A, 0))="Electronics"),"High Value","Normal")</f>
        <v/>
      </c>
    </row>
    <row r="155">
      <c r="A155">
        <f>Sales!A155</f>
        <v/>
      </c>
      <c r="B155">
        <f>VLOOKUP(Sales!C155,Products!A:E,2,FALSE)</f>
        <v/>
      </c>
      <c r="C155">
        <f>INDEX(Products!C:C, MATCH(Sales!C155, Products!A:A, 0))</f>
        <v/>
      </c>
      <c r="D155">
        <f>XLOOKUP(Sales!C155, Products!A:A, Products!D:D)</f>
        <v/>
      </c>
      <c r="E155">
        <f>Sales!D155*Sales!E155</f>
        <v/>
      </c>
      <c r="F155">
        <f>MATCH(Sales!C155, Products!A:A, 0)</f>
        <v/>
      </c>
      <c r="G155">
        <f>OFFSET(Sales!E155,1,0)</f>
        <v/>
      </c>
      <c r="H155">
        <f>IF(AND(Sales!D155*Sales!E155&gt;5000, INDEX(Products!C:C, MATCH(Sales!C155, Products!A:A, 0))="Electronics"),"High Value","Normal")</f>
        <v/>
      </c>
    </row>
    <row r="156">
      <c r="A156">
        <f>Sales!A156</f>
        <v/>
      </c>
      <c r="B156">
        <f>VLOOKUP(Sales!C156,Products!A:E,2,FALSE)</f>
        <v/>
      </c>
      <c r="C156">
        <f>INDEX(Products!C:C, MATCH(Sales!C156, Products!A:A, 0))</f>
        <v/>
      </c>
      <c r="D156">
        <f>XLOOKUP(Sales!C156, Products!A:A, Products!D:D)</f>
        <v/>
      </c>
      <c r="E156">
        <f>Sales!D156*Sales!E156</f>
        <v/>
      </c>
      <c r="F156">
        <f>MATCH(Sales!C156, Products!A:A, 0)</f>
        <v/>
      </c>
      <c r="G156">
        <f>OFFSET(Sales!E156,1,0)</f>
        <v/>
      </c>
      <c r="H156">
        <f>IF(AND(Sales!D156*Sales!E156&gt;5000, INDEX(Products!C:C, MATCH(Sales!C156, Products!A:A, 0))="Electronics"),"High Value","Normal")</f>
        <v/>
      </c>
    </row>
    <row r="157">
      <c r="A157">
        <f>Sales!A157</f>
        <v/>
      </c>
      <c r="B157">
        <f>VLOOKUP(Sales!C157,Products!A:E,2,FALSE)</f>
        <v/>
      </c>
      <c r="C157">
        <f>INDEX(Products!C:C, MATCH(Sales!C157, Products!A:A, 0))</f>
        <v/>
      </c>
      <c r="D157">
        <f>XLOOKUP(Sales!C157, Products!A:A, Products!D:D)</f>
        <v/>
      </c>
      <c r="E157">
        <f>Sales!D157*Sales!E157</f>
        <v/>
      </c>
      <c r="F157">
        <f>MATCH(Sales!C157, Products!A:A, 0)</f>
        <v/>
      </c>
      <c r="G157">
        <f>OFFSET(Sales!E157,1,0)</f>
        <v/>
      </c>
      <c r="H157">
        <f>IF(AND(Sales!D157*Sales!E157&gt;5000, INDEX(Products!C:C, MATCH(Sales!C157, Products!A:A, 0))="Electronics"),"High Value","Normal")</f>
        <v/>
      </c>
    </row>
    <row r="158">
      <c r="A158">
        <f>Sales!A158</f>
        <v/>
      </c>
      <c r="B158">
        <f>VLOOKUP(Sales!C158,Products!A:E,2,FALSE)</f>
        <v/>
      </c>
      <c r="C158">
        <f>INDEX(Products!C:C, MATCH(Sales!C158, Products!A:A, 0))</f>
        <v/>
      </c>
      <c r="D158">
        <f>XLOOKUP(Sales!C158, Products!A:A, Products!D:D)</f>
        <v/>
      </c>
      <c r="E158">
        <f>Sales!D158*Sales!E158</f>
        <v/>
      </c>
      <c r="F158">
        <f>MATCH(Sales!C158, Products!A:A, 0)</f>
        <v/>
      </c>
      <c r="G158">
        <f>OFFSET(Sales!E158,1,0)</f>
        <v/>
      </c>
      <c r="H158">
        <f>IF(AND(Sales!D158*Sales!E158&gt;5000, INDEX(Products!C:C, MATCH(Sales!C158, Products!A:A, 0))="Electronics"),"High Value","Normal")</f>
        <v/>
      </c>
    </row>
    <row r="159">
      <c r="A159">
        <f>Sales!A159</f>
        <v/>
      </c>
      <c r="B159">
        <f>VLOOKUP(Sales!C159,Products!A:E,2,FALSE)</f>
        <v/>
      </c>
      <c r="C159">
        <f>INDEX(Products!C:C, MATCH(Sales!C159, Products!A:A, 0))</f>
        <v/>
      </c>
      <c r="D159">
        <f>XLOOKUP(Sales!C159, Products!A:A, Products!D:D)</f>
        <v/>
      </c>
      <c r="E159">
        <f>Sales!D159*Sales!E159</f>
        <v/>
      </c>
      <c r="F159">
        <f>MATCH(Sales!C159, Products!A:A, 0)</f>
        <v/>
      </c>
      <c r="G159">
        <f>OFFSET(Sales!E159,1,0)</f>
        <v/>
      </c>
      <c r="H159">
        <f>IF(AND(Sales!D159*Sales!E159&gt;5000, INDEX(Products!C:C, MATCH(Sales!C159, Products!A:A, 0))="Electronics"),"High Value","Normal")</f>
        <v/>
      </c>
    </row>
    <row r="160">
      <c r="A160">
        <f>Sales!A160</f>
        <v/>
      </c>
      <c r="B160">
        <f>VLOOKUP(Sales!C160,Products!A:E,2,FALSE)</f>
        <v/>
      </c>
      <c r="C160">
        <f>INDEX(Products!C:C, MATCH(Sales!C160, Products!A:A, 0))</f>
        <v/>
      </c>
      <c r="D160">
        <f>XLOOKUP(Sales!C160, Products!A:A, Products!D:D)</f>
        <v/>
      </c>
      <c r="E160">
        <f>Sales!D160*Sales!E160</f>
        <v/>
      </c>
      <c r="F160">
        <f>MATCH(Sales!C160, Products!A:A, 0)</f>
        <v/>
      </c>
      <c r="G160">
        <f>OFFSET(Sales!E160,1,0)</f>
        <v/>
      </c>
      <c r="H160">
        <f>IF(AND(Sales!D160*Sales!E160&gt;5000, INDEX(Products!C:C, MATCH(Sales!C160, Products!A:A, 0))="Electronics"),"High Value","Normal")</f>
        <v/>
      </c>
    </row>
    <row r="161">
      <c r="A161">
        <f>Sales!A161</f>
        <v/>
      </c>
      <c r="B161">
        <f>VLOOKUP(Sales!C161,Products!A:E,2,FALSE)</f>
        <v/>
      </c>
      <c r="C161">
        <f>INDEX(Products!C:C, MATCH(Sales!C161, Products!A:A, 0))</f>
        <v/>
      </c>
      <c r="D161">
        <f>XLOOKUP(Sales!C161, Products!A:A, Products!D:D)</f>
        <v/>
      </c>
      <c r="E161">
        <f>Sales!D161*Sales!E161</f>
        <v/>
      </c>
      <c r="F161">
        <f>MATCH(Sales!C161, Products!A:A, 0)</f>
        <v/>
      </c>
      <c r="G161">
        <f>OFFSET(Sales!E161,1,0)</f>
        <v/>
      </c>
      <c r="H161">
        <f>IF(AND(Sales!D161*Sales!E161&gt;5000, INDEX(Products!C:C, MATCH(Sales!C161, Products!A:A, 0))="Electronics"),"High Value","Normal")</f>
        <v/>
      </c>
    </row>
    <row r="162">
      <c r="A162">
        <f>Sales!A162</f>
        <v/>
      </c>
      <c r="B162">
        <f>VLOOKUP(Sales!C162,Products!A:E,2,FALSE)</f>
        <v/>
      </c>
      <c r="C162">
        <f>INDEX(Products!C:C, MATCH(Sales!C162, Products!A:A, 0))</f>
        <v/>
      </c>
      <c r="D162">
        <f>XLOOKUP(Sales!C162, Products!A:A, Products!D:D)</f>
        <v/>
      </c>
      <c r="E162">
        <f>Sales!D162*Sales!E162</f>
        <v/>
      </c>
      <c r="F162">
        <f>MATCH(Sales!C162, Products!A:A, 0)</f>
        <v/>
      </c>
      <c r="G162">
        <f>OFFSET(Sales!E162,1,0)</f>
        <v/>
      </c>
      <c r="H162">
        <f>IF(AND(Sales!D162*Sales!E162&gt;5000, INDEX(Products!C:C, MATCH(Sales!C162, Products!A:A, 0))="Electronics"),"High Value","Normal")</f>
        <v/>
      </c>
    </row>
    <row r="163">
      <c r="A163">
        <f>Sales!A163</f>
        <v/>
      </c>
      <c r="B163">
        <f>VLOOKUP(Sales!C163,Products!A:E,2,FALSE)</f>
        <v/>
      </c>
      <c r="C163">
        <f>INDEX(Products!C:C, MATCH(Sales!C163, Products!A:A, 0))</f>
        <v/>
      </c>
      <c r="D163">
        <f>XLOOKUP(Sales!C163, Products!A:A, Products!D:D)</f>
        <v/>
      </c>
      <c r="E163">
        <f>Sales!D163*Sales!E163</f>
        <v/>
      </c>
      <c r="F163">
        <f>MATCH(Sales!C163, Products!A:A, 0)</f>
        <v/>
      </c>
      <c r="G163">
        <f>OFFSET(Sales!E163,1,0)</f>
        <v/>
      </c>
      <c r="H163">
        <f>IF(AND(Sales!D163*Sales!E163&gt;5000, INDEX(Products!C:C, MATCH(Sales!C163, Products!A:A, 0))="Electronics"),"High Value","Normal")</f>
        <v/>
      </c>
    </row>
    <row r="164">
      <c r="A164">
        <f>Sales!A164</f>
        <v/>
      </c>
      <c r="B164">
        <f>VLOOKUP(Sales!C164,Products!A:E,2,FALSE)</f>
        <v/>
      </c>
      <c r="C164">
        <f>INDEX(Products!C:C, MATCH(Sales!C164, Products!A:A, 0))</f>
        <v/>
      </c>
      <c r="D164">
        <f>XLOOKUP(Sales!C164, Products!A:A, Products!D:D)</f>
        <v/>
      </c>
      <c r="E164">
        <f>Sales!D164*Sales!E164</f>
        <v/>
      </c>
      <c r="F164">
        <f>MATCH(Sales!C164, Products!A:A, 0)</f>
        <v/>
      </c>
      <c r="G164">
        <f>OFFSET(Sales!E164,1,0)</f>
        <v/>
      </c>
      <c r="H164">
        <f>IF(AND(Sales!D164*Sales!E164&gt;5000, INDEX(Products!C:C, MATCH(Sales!C164, Products!A:A, 0))="Electronics"),"High Value","Normal")</f>
        <v/>
      </c>
    </row>
    <row r="165">
      <c r="A165">
        <f>Sales!A165</f>
        <v/>
      </c>
      <c r="B165">
        <f>VLOOKUP(Sales!C165,Products!A:E,2,FALSE)</f>
        <v/>
      </c>
      <c r="C165">
        <f>INDEX(Products!C:C, MATCH(Sales!C165, Products!A:A, 0))</f>
        <v/>
      </c>
      <c r="D165">
        <f>XLOOKUP(Sales!C165, Products!A:A, Products!D:D)</f>
        <v/>
      </c>
      <c r="E165">
        <f>Sales!D165*Sales!E165</f>
        <v/>
      </c>
      <c r="F165">
        <f>MATCH(Sales!C165, Products!A:A, 0)</f>
        <v/>
      </c>
      <c r="G165">
        <f>OFFSET(Sales!E165,1,0)</f>
        <v/>
      </c>
      <c r="H165">
        <f>IF(AND(Sales!D165*Sales!E165&gt;5000, INDEX(Products!C:C, MATCH(Sales!C165, Products!A:A, 0))="Electronics"),"High Value","Normal")</f>
        <v/>
      </c>
    </row>
    <row r="166">
      <c r="A166">
        <f>Sales!A166</f>
        <v/>
      </c>
      <c r="B166">
        <f>VLOOKUP(Sales!C166,Products!A:E,2,FALSE)</f>
        <v/>
      </c>
      <c r="C166">
        <f>INDEX(Products!C:C, MATCH(Sales!C166, Products!A:A, 0))</f>
        <v/>
      </c>
      <c r="D166">
        <f>XLOOKUP(Sales!C166, Products!A:A, Products!D:D)</f>
        <v/>
      </c>
      <c r="E166">
        <f>Sales!D166*Sales!E166</f>
        <v/>
      </c>
      <c r="F166">
        <f>MATCH(Sales!C166, Products!A:A, 0)</f>
        <v/>
      </c>
      <c r="G166">
        <f>OFFSET(Sales!E166,1,0)</f>
        <v/>
      </c>
      <c r="H166">
        <f>IF(AND(Sales!D166*Sales!E166&gt;5000, INDEX(Products!C:C, MATCH(Sales!C166, Products!A:A, 0))="Electronics"),"High Value","Normal")</f>
        <v/>
      </c>
    </row>
    <row r="167">
      <c r="A167">
        <f>Sales!A167</f>
        <v/>
      </c>
      <c r="B167">
        <f>VLOOKUP(Sales!C167,Products!A:E,2,FALSE)</f>
        <v/>
      </c>
      <c r="C167">
        <f>INDEX(Products!C:C, MATCH(Sales!C167, Products!A:A, 0))</f>
        <v/>
      </c>
      <c r="D167">
        <f>XLOOKUP(Sales!C167, Products!A:A, Products!D:D)</f>
        <v/>
      </c>
      <c r="E167">
        <f>Sales!D167*Sales!E167</f>
        <v/>
      </c>
      <c r="F167">
        <f>MATCH(Sales!C167, Products!A:A, 0)</f>
        <v/>
      </c>
      <c r="G167">
        <f>OFFSET(Sales!E167,1,0)</f>
        <v/>
      </c>
      <c r="H167">
        <f>IF(AND(Sales!D167*Sales!E167&gt;5000, INDEX(Products!C:C, MATCH(Sales!C167, Products!A:A, 0))="Electronics"),"High Value","Normal")</f>
        <v/>
      </c>
    </row>
    <row r="168">
      <c r="A168">
        <f>Sales!A168</f>
        <v/>
      </c>
      <c r="B168">
        <f>VLOOKUP(Sales!C168,Products!A:E,2,FALSE)</f>
        <v/>
      </c>
      <c r="C168">
        <f>INDEX(Products!C:C, MATCH(Sales!C168, Products!A:A, 0))</f>
        <v/>
      </c>
      <c r="D168">
        <f>XLOOKUP(Sales!C168, Products!A:A, Products!D:D)</f>
        <v/>
      </c>
      <c r="E168">
        <f>Sales!D168*Sales!E168</f>
        <v/>
      </c>
      <c r="F168">
        <f>MATCH(Sales!C168, Products!A:A, 0)</f>
        <v/>
      </c>
      <c r="G168">
        <f>OFFSET(Sales!E168,1,0)</f>
        <v/>
      </c>
      <c r="H168">
        <f>IF(AND(Sales!D168*Sales!E168&gt;5000, INDEX(Products!C:C, MATCH(Sales!C168, Products!A:A, 0))="Electronics"),"High Value","Normal")</f>
        <v/>
      </c>
    </row>
    <row r="169">
      <c r="A169">
        <f>Sales!A169</f>
        <v/>
      </c>
      <c r="B169">
        <f>VLOOKUP(Sales!C169,Products!A:E,2,FALSE)</f>
        <v/>
      </c>
      <c r="C169">
        <f>INDEX(Products!C:C, MATCH(Sales!C169, Products!A:A, 0))</f>
        <v/>
      </c>
      <c r="D169">
        <f>XLOOKUP(Sales!C169, Products!A:A, Products!D:D)</f>
        <v/>
      </c>
      <c r="E169">
        <f>Sales!D169*Sales!E169</f>
        <v/>
      </c>
      <c r="F169">
        <f>MATCH(Sales!C169, Products!A:A, 0)</f>
        <v/>
      </c>
      <c r="G169">
        <f>OFFSET(Sales!E169,1,0)</f>
        <v/>
      </c>
      <c r="H169">
        <f>IF(AND(Sales!D169*Sales!E169&gt;5000, INDEX(Products!C:C, MATCH(Sales!C169, Products!A:A, 0))="Electronics"),"High Value","Normal")</f>
        <v/>
      </c>
    </row>
    <row r="170">
      <c r="A170">
        <f>Sales!A170</f>
        <v/>
      </c>
      <c r="B170">
        <f>VLOOKUP(Sales!C170,Products!A:E,2,FALSE)</f>
        <v/>
      </c>
      <c r="C170">
        <f>INDEX(Products!C:C, MATCH(Sales!C170, Products!A:A, 0))</f>
        <v/>
      </c>
      <c r="D170">
        <f>XLOOKUP(Sales!C170, Products!A:A, Products!D:D)</f>
        <v/>
      </c>
      <c r="E170">
        <f>Sales!D170*Sales!E170</f>
        <v/>
      </c>
      <c r="F170">
        <f>MATCH(Sales!C170, Products!A:A, 0)</f>
        <v/>
      </c>
      <c r="G170">
        <f>OFFSET(Sales!E170,1,0)</f>
        <v/>
      </c>
      <c r="H170">
        <f>IF(AND(Sales!D170*Sales!E170&gt;5000, INDEX(Products!C:C, MATCH(Sales!C170, Products!A:A, 0))="Electronics"),"High Value","Normal")</f>
        <v/>
      </c>
    </row>
    <row r="171">
      <c r="A171">
        <f>Sales!A171</f>
        <v/>
      </c>
      <c r="B171">
        <f>VLOOKUP(Sales!C171,Products!A:E,2,FALSE)</f>
        <v/>
      </c>
      <c r="C171">
        <f>INDEX(Products!C:C, MATCH(Sales!C171, Products!A:A, 0))</f>
        <v/>
      </c>
      <c r="D171">
        <f>XLOOKUP(Sales!C171, Products!A:A, Products!D:D)</f>
        <v/>
      </c>
      <c r="E171">
        <f>Sales!D171*Sales!E171</f>
        <v/>
      </c>
      <c r="F171">
        <f>MATCH(Sales!C171, Products!A:A, 0)</f>
        <v/>
      </c>
      <c r="G171">
        <f>OFFSET(Sales!E171,1,0)</f>
        <v/>
      </c>
      <c r="H171">
        <f>IF(AND(Sales!D171*Sales!E171&gt;5000, INDEX(Products!C:C, MATCH(Sales!C171, Products!A:A, 0))="Electronics"),"High Value","Normal")</f>
        <v/>
      </c>
    </row>
    <row r="172">
      <c r="A172">
        <f>Sales!A172</f>
        <v/>
      </c>
      <c r="B172">
        <f>VLOOKUP(Sales!C172,Products!A:E,2,FALSE)</f>
        <v/>
      </c>
      <c r="C172">
        <f>INDEX(Products!C:C, MATCH(Sales!C172, Products!A:A, 0))</f>
        <v/>
      </c>
      <c r="D172">
        <f>XLOOKUP(Sales!C172, Products!A:A, Products!D:D)</f>
        <v/>
      </c>
      <c r="E172">
        <f>Sales!D172*Sales!E172</f>
        <v/>
      </c>
      <c r="F172">
        <f>MATCH(Sales!C172, Products!A:A, 0)</f>
        <v/>
      </c>
      <c r="G172">
        <f>OFFSET(Sales!E172,1,0)</f>
        <v/>
      </c>
      <c r="H172">
        <f>IF(AND(Sales!D172*Sales!E172&gt;5000, INDEX(Products!C:C, MATCH(Sales!C172, Products!A:A, 0))="Electronics"),"High Value","Normal")</f>
        <v/>
      </c>
    </row>
    <row r="173">
      <c r="A173">
        <f>Sales!A173</f>
        <v/>
      </c>
      <c r="B173">
        <f>VLOOKUP(Sales!C173,Products!A:E,2,FALSE)</f>
        <v/>
      </c>
      <c r="C173">
        <f>INDEX(Products!C:C, MATCH(Sales!C173, Products!A:A, 0))</f>
        <v/>
      </c>
      <c r="D173">
        <f>XLOOKUP(Sales!C173, Products!A:A, Products!D:D)</f>
        <v/>
      </c>
      <c r="E173">
        <f>Sales!D173*Sales!E173</f>
        <v/>
      </c>
      <c r="F173">
        <f>MATCH(Sales!C173, Products!A:A, 0)</f>
        <v/>
      </c>
      <c r="G173">
        <f>OFFSET(Sales!E173,1,0)</f>
        <v/>
      </c>
      <c r="H173">
        <f>IF(AND(Sales!D173*Sales!E173&gt;5000, INDEX(Products!C:C, MATCH(Sales!C173, Products!A:A, 0))="Electronics"),"High Value","Normal")</f>
        <v/>
      </c>
    </row>
    <row r="174">
      <c r="A174">
        <f>Sales!A174</f>
        <v/>
      </c>
      <c r="B174">
        <f>VLOOKUP(Sales!C174,Products!A:E,2,FALSE)</f>
        <v/>
      </c>
      <c r="C174">
        <f>INDEX(Products!C:C, MATCH(Sales!C174, Products!A:A, 0))</f>
        <v/>
      </c>
      <c r="D174">
        <f>XLOOKUP(Sales!C174, Products!A:A, Products!D:D)</f>
        <v/>
      </c>
      <c r="E174">
        <f>Sales!D174*Sales!E174</f>
        <v/>
      </c>
      <c r="F174">
        <f>MATCH(Sales!C174, Products!A:A, 0)</f>
        <v/>
      </c>
      <c r="G174">
        <f>OFFSET(Sales!E174,1,0)</f>
        <v/>
      </c>
      <c r="H174">
        <f>IF(AND(Sales!D174*Sales!E174&gt;5000, INDEX(Products!C:C, MATCH(Sales!C174, Products!A:A, 0))="Electronics"),"High Value","Normal")</f>
        <v/>
      </c>
    </row>
    <row r="175">
      <c r="A175">
        <f>Sales!A175</f>
        <v/>
      </c>
      <c r="B175">
        <f>VLOOKUP(Sales!C175,Products!A:E,2,FALSE)</f>
        <v/>
      </c>
      <c r="C175">
        <f>INDEX(Products!C:C, MATCH(Sales!C175, Products!A:A, 0))</f>
        <v/>
      </c>
      <c r="D175">
        <f>XLOOKUP(Sales!C175, Products!A:A, Products!D:D)</f>
        <v/>
      </c>
      <c r="E175">
        <f>Sales!D175*Sales!E175</f>
        <v/>
      </c>
      <c r="F175">
        <f>MATCH(Sales!C175, Products!A:A, 0)</f>
        <v/>
      </c>
      <c r="G175">
        <f>OFFSET(Sales!E175,1,0)</f>
        <v/>
      </c>
      <c r="H175">
        <f>IF(AND(Sales!D175*Sales!E175&gt;5000, INDEX(Products!C:C, MATCH(Sales!C175, Products!A:A, 0))="Electronics"),"High Value","Normal")</f>
        <v/>
      </c>
    </row>
    <row r="176">
      <c r="A176">
        <f>Sales!A176</f>
        <v/>
      </c>
      <c r="B176">
        <f>VLOOKUP(Sales!C176,Products!A:E,2,FALSE)</f>
        <v/>
      </c>
      <c r="C176">
        <f>INDEX(Products!C:C, MATCH(Sales!C176, Products!A:A, 0))</f>
        <v/>
      </c>
      <c r="D176">
        <f>XLOOKUP(Sales!C176, Products!A:A, Products!D:D)</f>
        <v/>
      </c>
      <c r="E176">
        <f>Sales!D176*Sales!E176</f>
        <v/>
      </c>
      <c r="F176">
        <f>MATCH(Sales!C176, Products!A:A, 0)</f>
        <v/>
      </c>
      <c r="G176">
        <f>OFFSET(Sales!E176,1,0)</f>
        <v/>
      </c>
      <c r="H176">
        <f>IF(AND(Sales!D176*Sales!E176&gt;5000, INDEX(Products!C:C, MATCH(Sales!C176, Products!A:A, 0))="Electronics"),"High Value","Normal")</f>
        <v/>
      </c>
    </row>
    <row r="177">
      <c r="A177">
        <f>Sales!A177</f>
        <v/>
      </c>
      <c r="B177">
        <f>VLOOKUP(Sales!C177,Products!A:E,2,FALSE)</f>
        <v/>
      </c>
      <c r="C177">
        <f>INDEX(Products!C:C, MATCH(Sales!C177, Products!A:A, 0))</f>
        <v/>
      </c>
      <c r="D177">
        <f>XLOOKUP(Sales!C177, Products!A:A, Products!D:D)</f>
        <v/>
      </c>
      <c r="E177">
        <f>Sales!D177*Sales!E177</f>
        <v/>
      </c>
      <c r="F177">
        <f>MATCH(Sales!C177, Products!A:A, 0)</f>
        <v/>
      </c>
      <c r="G177">
        <f>OFFSET(Sales!E177,1,0)</f>
        <v/>
      </c>
      <c r="H177">
        <f>IF(AND(Sales!D177*Sales!E177&gt;5000, INDEX(Products!C:C, MATCH(Sales!C177, Products!A:A, 0))="Electronics"),"High Value","Normal")</f>
        <v/>
      </c>
    </row>
    <row r="178">
      <c r="A178">
        <f>Sales!A178</f>
        <v/>
      </c>
      <c r="B178">
        <f>VLOOKUP(Sales!C178,Products!A:E,2,FALSE)</f>
        <v/>
      </c>
      <c r="C178">
        <f>INDEX(Products!C:C, MATCH(Sales!C178, Products!A:A, 0))</f>
        <v/>
      </c>
      <c r="D178">
        <f>XLOOKUP(Sales!C178, Products!A:A, Products!D:D)</f>
        <v/>
      </c>
      <c r="E178">
        <f>Sales!D178*Sales!E178</f>
        <v/>
      </c>
      <c r="F178">
        <f>MATCH(Sales!C178, Products!A:A, 0)</f>
        <v/>
      </c>
      <c r="G178">
        <f>OFFSET(Sales!E178,1,0)</f>
        <v/>
      </c>
      <c r="H178">
        <f>IF(AND(Sales!D178*Sales!E178&gt;5000, INDEX(Products!C:C, MATCH(Sales!C178, Products!A:A, 0))="Electronics"),"High Value","Normal")</f>
        <v/>
      </c>
    </row>
    <row r="179">
      <c r="A179">
        <f>Sales!A179</f>
        <v/>
      </c>
      <c r="B179">
        <f>VLOOKUP(Sales!C179,Products!A:E,2,FALSE)</f>
        <v/>
      </c>
      <c r="C179">
        <f>INDEX(Products!C:C, MATCH(Sales!C179, Products!A:A, 0))</f>
        <v/>
      </c>
      <c r="D179">
        <f>XLOOKUP(Sales!C179, Products!A:A, Products!D:D)</f>
        <v/>
      </c>
      <c r="E179">
        <f>Sales!D179*Sales!E179</f>
        <v/>
      </c>
      <c r="F179">
        <f>MATCH(Sales!C179, Products!A:A, 0)</f>
        <v/>
      </c>
      <c r="G179">
        <f>OFFSET(Sales!E179,1,0)</f>
        <v/>
      </c>
      <c r="H179">
        <f>IF(AND(Sales!D179*Sales!E179&gt;5000, INDEX(Products!C:C, MATCH(Sales!C179, Products!A:A, 0))="Electronics"),"High Value","Normal")</f>
        <v/>
      </c>
    </row>
    <row r="180">
      <c r="A180">
        <f>Sales!A180</f>
        <v/>
      </c>
      <c r="B180">
        <f>VLOOKUP(Sales!C180,Products!A:E,2,FALSE)</f>
        <v/>
      </c>
      <c r="C180">
        <f>INDEX(Products!C:C, MATCH(Sales!C180, Products!A:A, 0))</f>
        <v/>
      </c>
      <c r="D180">
        <f>XLOOKUP(Sales!C180, Products!A:A, Products!D:D)</f>
        <v/>
      </c>
      <c r="E180">
        <f>Sales!D180*Sales!E180</f>
        <v/>
      </c>
      <c r="F180">
        <f>MATCH(Sales!C180, Products!A:A, 0)</f>
        <v/>
      </c>
      <c r="G180">
        <f>OFFSET(Sales!E180,1,0)</f>
        <v/>
      </c>
      <c r="H180">
        <f>IF(AND(Sales!D180*Sales!E180&gt;5000, INDEX(Products!C:C, MATCH(Sales!C180, Products!A:A, 0))="Electronics"),"High Value","Normal")</f>
        <v/>
      </c>
    </row>
    <row r="181">
      <c r="A181">
        <f>Sales!A181</f>
        <v/>
      </c>
      <c r="B181">
        <f>VLOOKUP(Sales!C181,Products!A:E,2,FALSE)</f>
        <v/>
      </c>
      <c r="C181">
        <f>INDEX(Products!C:C, MATCH(Sales!C181, Products!A:A, 0))</f>
        <v/>
      </c>
      <c r="D181">
        <f>XLOOKUP(Sales!C181, Products!A:A, Products!D:D)</f>
        <v/>
      </c>
      <c r="E181">
        <f>Sales!D181*Sales!E181</f>
        <v/>
      </c>
      <c r="F181">
        <f>MATCH(Sales!C181, Products!A:A, 0)</f>
        <v/>
      </c>
      <c r="G181">
        <f>OFFSET(Sales!E181,1,0)</f>
        <v/>
      </c>
      <c r="H181">
        <f>IF(AND(Sales!D181*Sales!E181&gt;5000, INDEX(Products!C:C, MATCH(Sales!C181, Products!A:A, 0))="Electronics"),"High Value","Normal")</f>
        <v/>
      </c>
    </row>
    <row r="182">
      <c r="A182">
        <f>Sales!A182</f>
        <v/>
      </c>
      <c r="B182">
        <f>VLOOKUP(Sales!C182,Products!A:E,2,FALSE)</f>
        <v/>
      </c>
      <c r="C182">
        <f>INDEX(Products!C:C, MATCH(Sales!C182, Products!A:A, 0))</f>
        <v/>
      </c>
      <c r="D182">
        <f>XLOOKUP(Sales!C182, Products!A:A, Products!D:D)</f>
        <v/>
      </c>
      <c r="E182">
        <f>Sales!D182*Sales!E182</f>
        <v/>
      </c>
      <c r="F182">
        <f>MATCH(Sales!C182, Products!A:A, 0)</f>
        <v/>
      </c>
      <c r="G182">
        <f>OFFSET(Sales!E182,1,0)</f>
        <v/>
      </c>
      <c r="H182">
        <f>IF(AND(Sales!D182*Sales!E182&gt;5000, INDEX(Products!C:C, MATCH(Sales!C182, Products!A:A, 0))="Electronics"),"High Value","Normal")</f>
        <v/>
      </c>
    </row>
    <row r="183">
      <c r="A183">
        <f>Sales!A183</f>
        <v/>
      </c>
      <c r="B183">
        <f>VLOOKUP(Sales!C183,Products!A:E,2,FALSE)</f>
        <v/>
      </c>
      <c r="C183">
        <f>INDEX(Products!C:C, MATCH(Sales!C183, Products!A:A, 0))</f>
        <v/>
      </c>
      <c r="D183">
        <f>XLOOKUP(Sales!C183, Products!A:A, Products!D:D)</f>
        <v/>
      </c>
      <c r="E183">
        <f>Sales!D183*Sales!E183</f>
        <v/>
      </c>
      <c r="F183">
        <f>MATCH(Sales!C183, Products!A:A, 0)</f>
        <v/>
      </c>
      <c r="G183">
        <f>OFFSET(Sales!E183,1,0)</f>
        <v/>
      </c>
      <c r="H183">
        <f>IF(AND(Sales!D183*Sales!E183&gt;5000, INDEX(Products!C:C, MATCH(Sales!C183, Products!A:A, 0))="Electronics"),"High Value","Normal")</f>
        <v/>
      </c>
    </row>
    <row r="184">
      <c r="A184">
        <f>Sales!A184</f>
        <v/>
      </c>
      <c r="B184">
        <f>VLOOKUP(Sales!C184,Products!A:E,2,FALSE)</f>
        <v/>
      </c>
      <c r="C184">
        <f>INDEX(Products!C:C, MATCH(Sales!C184, Products!A:A, 0))</f>
        <v/>
      </c>
      <c r="D184">
        <f>XLOOKUP(Sales!C184, Products!A:A, Products!D:D)</f>
        <v/>
      </c>
      <c r="E184">
        <f>Sales!D184*Sales!E184</f>
        <v/>
      </c>
      <c r="F184">
        <f>MATCH(Sales!C184, Products!A:A, 0)</f>
        <v/>
      </c>
      <c r="G184">
        <f>OFFSET(Sales!E184,1,0)</f>
        <v/>
      </c>
      <c r="H184">
        <f>IF(AND(Sales!D184*Sales!E184&gt;5000, INDEX(Products!C:C, MATCH(Sales!C184, Products!A:A, 0))="Electronics"),"High Value","Normal")</f>
        <v/>
      </c>
    </row>
    <row r="185">
      <c r="A185">
        <f>Sales!A185</f>
        <v/>
      </c>
      <c r="B185">
        <f>VLOOKUP(Sales!C185,Products!A:E,2,FALSE)</f>
        <v/>
      </c>
      <c r="C185">
        <f>INDEX(Products!C:C, MATCH(Sales!C185, Products!A:A, 0))</f>
        <v/>
      </c>
      <c r="D185">
        <f>XLOOKUP(Sales!C185, Products!A:A, Products!D:D)</f>
        <v/>
      </c>
      <c r="E185">
        <f>Sales!D185*Sales!E185</f>
        <v/>
      </c>
      <c r="F185">
        <f>MATCH(Sales!C185, Products!A:A, 0)</f>
        <v/>
      </c>
      <c r="G185">
        <f>OFFSET(Sales!E185,1,0)</f>
        <v/>
      </c>
      <c r="H185">
        <f>IF(AND(Sales!D185*Sales!E185&gt;5000, INDEX(Products!C:C, MATCH(Sales!C185, Products!A:A, 0))="Electronics"),"High Value","Normal")</f>
        <v/>
      </c>
    </row>
    <row r="186">
      <c r="A186">
        <f>Sales!A186</f>
        <v/>
      </c>
      <c r="B186">
        <f>VLOOKUP(Sales!C186,Products!A:E,2,FALSE)</f>
        <v/>
      </c>
      <c r="C186">
        <f>INDEX(Products!C:C, MATCH(Sales!C186, Products!A:A, 0))</f>
        <v/>
      </c>
      <c r="D186">
        <f>XLOOKUP(Sales!C186, Products!A:A, Products!D:D)</f>
        <v/>
      </c>
      <c r="E186">
        <f>Sales!D186*Sales!E186</f>
        <v/>
      </c>
      <c r="F186">
        <f>MATCH(Sales!C186, Products!A:A, 0)</f>
        <v/>
      </c>
      <c r="G186">
        <f>OFFSET(Sales!E186,1,0)</f>
        <v/>
      </c>
      <c r="H186">
        <f>IF(AND(Sales!D186*Sales!E186&gt;5000, INDEX(Products!C:C, MATCH(Sales!C186, Products!A:A, 0))="Electronics"),"High Value","Normal")</f>
        <v/>
      </c>
    </row>
    <row r="187">
      <c r="A187">
        <f>Sales!A187</f>
        <v/>
      </c>
      <c r="B187">
        <f>VLOOKUP(Sales!C187,Products!A:E,2,FALSE)</f>
        <v/>
      </c>
      <c r="C187">
        <f>INDEX(Products!C:C, MATCH(Sales!C187, Products!A:A, 0))</f>
        <v/>
      </c>
      <c r="D187">
        <f>XLOOKUP(Sales!C187, Products!A:A, Products!D:D)</f>
        <v/>
      </c>
      <c r="E187">
        <f>Sales!D187*Sales!E187</f>
        <v/>
      </c>
      <c r="F187">
        <f>MATCH(Sales!C187, Products!A:A, 0)</f>
        <v/>
      </c>
      <c r="G187">
        <f>OFFSET(Sales!E187,1,0)</f>
        <v/>
      </c>
      <c r="H187">
        <f>IF(AND(Sales!D187*Sales!E187&gt;5000, INDEX(Products!C:C, MATCH(Sales!C187, Products!A:A, 0))="Electronics"),"High Value","Normal")</f>
        <v/>
      </c>
    </row>
    <row r="188">
      <c r="A188">
        <f>Sales!A188</f>
        <v/>
      </c>
      <c r="B188">
        <f>VLOOKUP(Sales!C188,Products!A:E,2,FALSE)</f>
        <v/>
      </c>
      <c r="C188">
        <f>INDEX(Products!C:C, MATCH(Sales!C188, Products!A:A, 0))</f>
        <v/>
      </c>
      <c r="D188">
        <f>XLOOKUP(Sales!C188, Products!A:A, Products!D:D)</f>
        <v/>
      </c>
      <c r="E188">
        <f>Sales!D188*Sales!E188</f>
        <v/>
      </c>
      <c r="F188">
        <f>MATCH(Sales!C188, Products!A:A, 0)</f>
        <v/>
      </c>
      <c r="G188">
        <f>OFFSET(Sales!E188,1,0)</f>
        <v/>
      </c>
      <c r="H188">
        <f>IF(AND(Sales!D188*Sales!E188&gt;5000, INDEX(Products!C:C, MATCH(Sales!C188, Products!A:A, 0))="Electronics"),"High Value","Normal")</f>
        <v/>
      </c>
    </row>
    <row r="189">
      <c r="A189">
        <f>Sales!A189</f>
        <v/>
      </c>
      <c r="B189">
        <f>VLOOKUP(Sales!C189,Products!A:E,2,FALSE)</f>
        <v/>
      </c>
      <c r="C189">
        <f>INDEX(Products!C:C, MATCH(Sales!C189, Products!A:A, 0))</f>
        <v/>
      </c>
      <c r="D189">
        <f>XLOOKUP(Sales!C189, Products!A:A, Products!D:D)</f>
        <v/>
      </c>
      <c r="E189">
        <f>Sales!D189*Sales!E189</f>
        <v/>
      </c>
      <c r="F189">
        <f>MATCH(Sales!C189, Products!A:A, 0)</f>
        <v/>
      </c>
      <c r="G189">
        <f>OFFSET(Sales!E189,1,0)</f>
        <v/>
      </c>
      <c r="H189">
        <f>IF(AND(Sales!D189*Sales!E189&gt;5000, INDEX(Products!C:C, MATCH(Sales!C189, Products!A:A, 0))="Electronics"),"High Value","Normal")</f>
        <v/>
      </c>
    </row>
    <row r="190">
      <c r="A190">
        <f>Sales!A190</f>
        <v/>
      </c>
      <c r="B190">
        <f>VLOOKUP(Sales!C190,Products!A:E,2,FALSE)</f>
        <v/>
      </c>
      <c r="C190">
        <f>INDEX(Products!C:C, MATCH(Sales!C190, Products!A:A, 0))</f>
        <v/>
      </c>
      <c r="D190">
        <f>XLOOKUP(Sales!C190, Products!A:A, Products!D:D)</f>
        <v/>
      </c>
      <c r="E190">
        <f>Sales!D190*Sales!E190</f>
        <v/>
      </c>
      <c r="F190">
        <f>MATCH(Sales!C190, Products!A:A, 0)</f>
        <v/>
      </c>
      <c r="G190">
        <f>OFFSET(Sales!E190,1,0)</f>
        <v/>
      </c>
      <c r="H190">
        <f>IF(AND(Sales!D190*Sales!E190&gt;5000, INDEX(Products!C:C, MATCH(Sales!C190, Products!A:A, 0))="Electronics"),"High Value","Normal")</f>
        <v/>
      </c>
    </row>
    <row r="191">
      <c r="A191">
        <f>Sales!A191</f>
        <v/>
      </c>
      <c r="B191">
        <f>VLOOKUP(Sales!C191,Products!A:E,2,FALSE)</f>
        <v/>
      </c>
      <c r="C191">
        <f>INDEX(Products!C:C, MATCH(Sales!C191, Products!A:A, 0))</f>
        <v/>
      </c>
      <c r="D191">
        <f>XLOOKUP(Sales!C191, Products!A:A, Products!D:D)</f>
        <v/>
      </c>
      <c r="E191">
        <f>Sales!D191*Sales!E191</f>
        <v/>
      </c>
      <c r="F191">
        <f>MATCH(Sales!C191, Products!A:A, 0)</f>
        <v/>
      </c>
      <c r="G191">
        <f>OFFSET(Sales!E191,1,0)</f>
        <v/>
      </c>
      <c r="H191">
        <f>IF(AND(Sales!D191*Sales!E191&gt;5000, INDEX(Products!C:C, MATCH(Sales!C191, Products!A:A, 0))="Electronics"),"High Value","Normal")</f>
        <v/>
      </c>
    </row>
    <row r="192">
      <c r="A192">
        <f>Sales!A192</f>
        <v/>
      </c>
      <c r="B192">
        <f>VLOOKUP(Sales!C192,Products!A:E,2,FALSE)</f>
        <v/>
      </c>
      <c r="C192">
        <f>INDEX(Products!C:C, MATCH(Sales!C192, Products!A:A, 0))</f>
        <v/>
      </c>
      <c r="D192">
        <f>XLOOKUP(Sales!C192, Products!A:A, Products!D:D)</f>
        <v/>
      </c>
      <c r="E192">
        <f>Sales!D192*Sales!E192</f>
        <v/>
      </c>
      <c r="F192">
        <f>MATCH(Sales!C192, Products!A:A, 0)</f>
        <v/>
      </c>
      <c r="G192">
        <f>OFFSET(Sales!E192,1,0)</f>
        <v/>
      </c>
      <c r="H192">
        <f>IF(AND(Sales!D192*Sales!E192&gt;5000, INDEX(Products!C:C, MATCH(Sales!C192, Products!A:A, 0))="Electronics"),"High Value","Normal")</f>
        <v/>
      </c>
    </row>
    <row r="193">
      <c r="A193">
        <f>Sales!A193</f>
        <v/>
      </c>
      <c r="B193">
        <f>VLOOKUP(Sales!C193,Products!A:E,2,FALSE)</f>
        <v/>
      </c>
      <c r="C193">
        <f>INDEX(Products!C:C, MATCH(Sales!C193, Products!A:A, 0))</f>
        <v/>
      </c>
      <c r="D193">
        <f>XLOOKUP(Sales!C193, Products!A:A, Products!D:D)</f>
        <v/>
      </c>
      <c r="E193">
        <f>Sales!D193*Sales!E193</f>
        <v/>
      </c>
      <c r="F193">
        <f>MATCH(Sales!C193, Products!A:A, 0)</f>
        <v/>
      </c>
      <c r="G193">
        <f>OFFSET(Sales!E193,1,0)</f>
        <v/>
      </c>
      <c r="H193">
        <f>IF(AND(Sales!D193*Sales!E193&gt;5000, INDEX(Products!C:C, MATCH(Sales!C193, Products!A:A, 0))="Electronics"),"High Value","Normal")</f>
        <v/>
      </c>
    </row>
    <row r="194">
      <c r="A194">
        <f>Sales!A194</f>
        <v/>
      </c>
      <c r="B194">
        <f>VLOOKUP(Sales!C194,Products!A:E,2,FALSE)</f>
        <v/>
      </c>
      <c r="C194">
        <f>INDEX(Products!C:C, MATCH(Sales!C194, Products!A:A, 0))</f>
        <v/>
      </c>
      <c r="D194">
        <f>XLOOKUP(Sales!C194, Products!A:A, Products!D:D)</f>
        <v/>
      </c>
      <c r="E194">
        <f>Sales!D194*Sales!E194</f>
        <v/>
      </c>
      <c r="F194">
        <f>MATCH(Sales!C194, Products!A:A, 0)</f>
        <v/>
      </c>
      <c r="G194">
        <f>OFFSET(Sales!E194,1,0)</f>
        <v/>
      </c>
      <c r="H194">
        <f>IF(AND(Sales!D194*Sales!E194&gt;5000, INDEX(Products!C:C, MATCH(Sales!C194, Products!A:A, 0))="Electronics"),"High Value","Normal")</f>
        <v/>
      </c>
    </row>
    <row r="195">
      <c r="A195">
        <f>Sales!A195</f>
        <v/>
      </c>
      <c r="B195">
        <f>VLOOKUP(Sales!C195,Products!A:E,2,FALSE)</f>
        <v/>
      </c>
      <c r="C195">
        <f>INDEX(Products!C:C, MATCH(Sales!C195, Products!A:A, 0))</f>
        <v/>
      </c>
      <c r="D195">
        <f>XLOOKUP(Sales!C195, Products!A:A, Products!D:D)</f>
        <v/>
      </c>
      <c r="E195">
        <f>Sales!D195*Sales!E195</f>
        <v/>
      </c>
      <c r="F195">
        <f>MATCH(Sales!C195, Products!A:A, 0)</f>
        <v/>
      </c>
      <c r="G195">
        <f>OFFSET(Sales!E195,1,0)</f>
        <v/>
      </c>
      <c r="H195">
        <f>IF(AND(Sales!D195*Sales!E195&gt;5000, INDEX(Products!C:C, MATCH(Sales!C195, Products!A:A, 0))="Electronics"),"High Value","Normal")</f>
        <v/>
      </c>
    </row>
    <row r="196">
      <c r="A196">
        <f>Sales!A196</f>
        <v/>
      </c>
      <c r="B196">
        <f>VLOOKUP(Sales!C196,Products!A:E,2,FALSE)</f>
        <v/>
      </c>
      <c r="C196">
        <f>INDEX(Products!C:C, MATCH(Sales!C196, Products!A:A, 0))</f>
        <v/>
      </c>
      <c r="D196">
        <f>XLOOKUP(Sales!C196, Products!A:A, Products!D:D)</f>
        <v/>
      </c>
      <c r="E196">
        <f>Sales!D196*Sales!E196</f>
        <v/>
      </c>
      <c r="F196">
        <f>MATCH(Sales!C196, Products!A:A, 0)</f>
        <v/>
      </c>
      <c r="G196">
        <f>OFFSET(Sales!E196,1,0)</f>
        <v/>
      </c>
      <c r="H196">
        <f>IF(AND(Sales!D196*Sales!E196&gt;5000, INDEX(Products!C:C, MATCH(Sales!C196, Products!A:A, 0))="Electronics"),"High Value","Normal")</f>
        <v/>
      </c>
    </row>
    <row r="197">
      <c r="A197">
        <f>Sales!A197</f>
        <v/>
      </c>
      <c r="B197">
        <f>VLOOKUP(Sales!C197,Products!A:E,2,FALSE)</f>
        <v/>
      </c>
      <c r="C197">
        <f>INDEX(Products!C:C, MATCH(Sales!C197, Products!A:A, 0))</f>
        <v/>
      </c>
      <c r="D197">
        <f>XLOOKUP(Sales!C197, Products!A:A, Products!D:D)</f>
        <v/>
      </c>
      <c r="E197">
        <f>Sales!D197*Sales!E197</f>
        <v/>
      </c>
      <c r="F197">
        <f>MATCH(Sales!C197, Products!A:A, 0)</f>
        <v/>
      </c>
      <c r="G197">
        <f>OFFSET(Sales!E197,1,0)</f>
        <v/>
      </c>
      <c r="H197">
        <f>IF(AND(Sales!D197*Sales!E197&gt;5000, INDEX(Products!C:C, MATCH(Sales!C197, Products!A:A, 0))="Electronics"),"High Value","Normal")</f>
        <v/>
      </c>
    </row>
    <row r="198">
      <c r="A198">
        <f>Sales!A198</f>
        <v/>
      </c>
      <c r="B198">
        <f>VLOOKUP(Sales!C198,Products!A:E,2,FALSE)</f>
        <v/>
      </c>
      <c r="C198">
        <f>INDEX(Products!C:C, MATCH(Sales!C198, Products!A:A, 0))</f>
        <v/>
      </c>
      <c r="D198">
        <f>XLOOKUP(Sales!C198, Products!A:A, Products!D:D)</f>
        <v/>
      </c>
      <c r="E198">
        <f>Sales!D198*Sales!E198</f>
        <v/>
      </c>
      <c r="F198">
        <f>MATCH(Sales!C198, Products!A:A, 0)</f>
        <v/>
      </c>
      <c r="G198">
        <f>OFFSET(Sales!E198,1,0)</f>
        <v/>
      </c>
      <c r="H198">
        <f>IF(AND(Sales!D198*Sales!E198&gt;5000, INDEX(Products!C:C, MATCH(Sales!C198, Products!A:A, 0))="Electronics"),"High Value","Normal")</f>
        <v/>
      </c>
    </row>
    <row r="199">
      <c r="A199">
        <f>Sales!A199</f>
        <v/>
      </c>
      <c r="B199">
        <f>VLOOKUP(Sales!C199,Products!A:E,2,FALSE)</f>
        <v/>
      </c>
      <c r="C199">
        <f>INDEX(Products!C:C, MATCH(Sales!C199, Products!A:A, 0))</f>
        <v/>
      </c>
      <c r="D199">
        <f>XLOOKUP(Sales!C199, Products!A:A, Products!D:D)</f>
        <v/>
      </c>
      <c r="E199">
        <f>Sales!D199*Sales!E199</f>
        <v/>
      </c>
      <c r="F199">
        <f>MATCH(Sales!C199, Products!A:A, 0)</f>
        <v/>
      </c>
      <c r="G199">
        <f>OFFSET(Sales!E199,1,0)</f>
        <v/>
      </c>
      <c r="H199">
        <f>IF(AND(Sales!D199*Sales!E199&gt;5000, INDEX(Products!C:C, MATCH(Sales!C199, Products!A:A, 0))="Electronics"),"High Value","Normal")</f>
        <v/>
      </c>
    </row>
    <row r="200">
      <c r="A200">
        <f>Sales!A200</f>
        <v/>
      </c>
      <c r="B200">
        <f>VLOOKUP(Sales!C200,Products!A:E,2,FALSE)</f>
        <v/>
      </c>
      <c r="C200">
        <f>INDEX(Products!C:C, MATCH(Sales!C200, Products!A:A, 0))</f>
        <v/>
      </c>
      <c r="D200">
        <f>XLOOKUP(Sales!C200, Products!A:A, Products!D:D)</f>
        <v/>
      </c>
      <c r="E200">
        <f>Sales!D200*Sales!E200</f>
        <v/>
      </c>
      <c r="F200">
        <f>MATCH(Sales!C200, Products!A:A, 0)</f>
        <v/>
      </c>
      <c r="G200">
        <f>OFFSET(Sales!E200,1,0)</f>
        <v/>
      </c>
      <c r="H200">
        <f>IF(AND(Sales!D200*Sales!E200&gt;5000, INDEX(Products!C:C, MATCH(Sales!C200, Products!A:A, 0))="Electronics"),"High Value","Normal")</f>
        <v/>
      </c>
    </row>
    <row r="201">
      <c r="A201">
        <f>Sales!A201</f>
        <v/>
      </c>
      <c r="B201">
        <f>VLOOKUP(Sales!C201,Products!A:E,2,FALSE)</f>
        <v/>
      </c>
      <c r="C201">
        <f>INDEX(Products!C:C, MATCH(Sales!C201, Products!A:A, 0))</f>
        <v/>
      </c>
      <c r="D201">
        <f>XLOOKUP(Sales!C201, Products!A:A, Products!D:D)</f>
        <v/>
      </c>
      <c r="E201">
        <f>Sales!D201*Sales!E201</f>
        <v/>
      </c>
      <c r="F201">
        <f>MATCH(Sales!C201, Products!A:A, 0)</f>
        <v/>
      </c>
      <c r="G201">
        <f>OFFSET(Sales!E201,1,0)</f>
        <v/>
      </c>
      <c r="H201">
        <f>IF(AND(Sales!D201*Sales!E201&gt;5000, INDEX(Products!C:C, MATCH(Sales!C201, Products!A:A, 0))="Electronics"),"High Value","Normal")</f>
        <v/>
      </c>
    </row>
    <row r="202">
      <c r="A202">
        <f>Sales!A202</f>
        <v/>
      </c>
      <c r="B202">
        <f>VLOOKUP(Sales!C202,Products!A:E,2,FALSE)</f>
        <v/>
      </c>
      <c r="C202">
        <f>INDEX(Products!C:C, MATCH(Sales!C202, Products!A:A, 0))</f>
        <v/>
      </c>
      <c r="D202">
        <f>XLOOKUP(Sales!C202, Products!A:A, Products!D:D)</f>
        <v/>
      </c>
      <c r="E202">
        <f>Sales!D202*Sales!E202</f>
        <v/>
      </c>
      <c r="F202">
        <f>MATCH(Sales!C202, Products!A:A, 0)</f>
        <v/>
      </c>
      <c r="G202">
        <f>OFFSET(Sales!E202,1,0)</f>
        <v/>
      </c>
      <c r="H202">
        <f>IF(AND(Sales!D202*Sales!E202&gt;5000, INDEX(Products!C:C, MATCH(Sales!C202, Products!A:A, 0))="Electronics"),"High Value","Normal")</f>
        <v/>
      </c>
    </row>
    <row r="203">
      <c r="A203">
        <f>Sales!A203</f>
        <v/>
      </c>
      <c r="B203">
        <f>VLOOKUP(Sales!C203,Products!A:E,2,FALSE)</f>
        <v/>
      </c>
      <c r="C203">
        <f>INDEX(Products!C:C, MATCH(Sales!C203, Products!A:A, 0))</f>
        <v/>
      </c>
      <c r="D203">
        <f>XLOOKUP(Sales!C203, Products!A:A, Products!D:D)</f>
        <v/>
      </c>
      <c r="E203">
        <f>Sales!D203*Sales!E203</f>
        <v/>
      </c>
      <c r="F203">
        <f>MATCH(Sales!C203, Products!A:A, 0)</f>
        <v/>
      </c>
      <c r="G203">
        <f>OFFSET(Sales!E203,1,0)</f>
        <v/>
      </c>
      <c r="H203">
        <f>IF(AND(Sales!D203*Sales!E203&gt;5000, INDEX(Products!C:C, MATCH(Sales!C203, Products!A:A, 0))="Electronics"),"High Value","Normal")</f>
        <v/>
      </c>
    </row>
    <row r="204">
      <c r="A204">
        <f>Sales!A204</f>
        <v/>
      </c>
      <c r="B204">
        <f>VLOOKUP(Sales!C204,Products!A:E,2,FALSE)</f>
        <v/>
      </c>
      <c r="C204">
        <f>INDEX(Products!C:C, MATCH(Sales!C204, Products!A:A, 0))</f>
        <v/>
      </c>
      <c r="D204">
        <f>XLOOKUP(Sales!C204, Products!A:A, Products!D:D)</f>
        <v/>
      </c>
      <c r="E204">
        <f>Sales!D204*Sales!E204</f>
        <v/>
      </c>
      <c r="F204">
        <f>MATCH(Sales!C204, Products!A:A, 0)</f>
        <v/>
      </c>
      <c r="G204">
        <f>OFFSET(Sales!E204,1,0)</f>
        <v/>
      </c>
      <c r="H204">
        <f>IF(AND(Sales!D204*Sales!E204&gt;5000, INDEX(Products!C:C, MATCH(Sales!C204, Products!A:A, 0))="Electronics"),"High Value","Normal")</f>
        <v/>
      </c>
    </row>
    <row r="205">
      <c r="A205">
        <f>Sales!A205</f>
        <v/>
      </c>
      <c r="B205">
        <f>VLOOKUP(Sales!C205,Products!A:E,2,FALSE)</f>
        <v/>
      </c>
      <c r="C205">
        <f>INDEX(Products!C:C, MATCH(Sales!C205, Products!A:A, 0))</f>
        <v/>
      </c>
      <c r="D205">
        <f>XLOOKUP(Sales!C205, Products!A:A, Products!D:D)</f>
        <v/>
      </c>
      <c r="E205">
        <f>Sales!D205*Sales!E205</f>
        <v/>
      </c>
      <c r="F205">
        <f>MATCH(Sales!C205, Products!A:A, 0)</f>
        <v/>
      </c>
      <c r="G205">
        <f>OFFSET(Sales!E205,1,0)</f>
        <v/>
      </c>
      <c r="H205">
        <f>IF(AND(Sales!D205*Sales!E205&gt;5000, INDEX(Products!C:C, MATCH(Sales!C205, Products!A:A, 0))="Electronics"),"High Value","Normal")</f>
        <v/>
      </c>
    </row>
    <row r="206">
      <c r="A206">
        <f>Sales!A206</f>
        <v/>
      </c>
      <c r="B206">
        <f>VLOOKUP(Sales!C206,Products!A:E,2,FALSE)</f>
        <v/>
      </c>
      <c r="C206">
        <f>INDEX(Products!C:C, MATCH(Sales!C206, Products!A:A, 0))</f>
        <v/>
      </c>
      <c r="D206">
        <f>XLOOKUP(Sales!C206, Products!A:A, Products!D:D)</f>
        <v/>
      </c>
      <c r="E206">
        <f>Sales!D206*Sales!E206</f>
        <v/>
      </c>
      <c r="F206">
        <f>MATCH(Sales!C206, Products!A:A, 0)</f>
        <v/>
      </c>
      <c r="G206">
        <f>OFFSET(Sales!E206,1,0)</f>
        <v/>
      </c>
      <c r="H206">
        <f>IF(AND(Sales!D206*Sales!E206&gt;5000, INDEX(Products!C:C, MATCH(Sales!C206, Products!A:A, 0))="Electronics"),"High Value","Normal")</f>
        <v/>
      </c>
    </row>
    <row r="207">
      <c r="A207">
        <f>Sales!A207</f>
        <v/>
      </c>
      <c r="B207">
        <f>VLOOKUP(Sales!C207,Products!A:E,2,FALSE)</f>
        <v/>
      </c>
      <c r="C207">
        <f>INDEX(Products!C:C, MATCH(Sales!C207, Products!A:A, 0))</f>
        <v/>
      </c>
      <c r="D207">
        <f>XLOOKUP(Sales!C207, Products!A:A, Products!D:D)</f>
        <v/>
      </c>
      <c r="E207">
        <f>Sales!D207*Sales!E207</f>
        <v/>
      </c>
      <c r="F207">
        <f>MATCH(Sales!C207, Products!A:A, 0)</f>
        <v/>
      </c>
      <c r="G207">
        <f>OFFSET(Sales!E207,1,0)</f>
        <v/>
      </c>
      <c r="H207">
        <f>IF(AND(Sales!D207*Sales!E207&gt;5000, INDEX(Products!C:C, MATCH(Sales!C207, Products!A:A, 0))="Electronics"),"High Value","Normal")</f>
        <v/>
      </c>
    </row>
    <row r="208">
      <c r="A208">
        <f>Sales!A208</f>
        <v/>
      </c>
      <c r="B208">
        <f>VLOOKUP(Sales!C208,Products!A:E,2,FALSE)</f>
        <v/>
      </c>
      <c r="C208">
        <f>INDEX(Products!C:C, MATCH(Sales!C208, Products!A:A, 0))</f>
        <v/>
      </c>
      <c r="D208">
        <f>XLOOKUP(Sales!C208, Products!A:A, Products!D:D)</f>
        <v/>
      </c>
      <c r="E208">
        <f>Sales!D208*Sales!E208</f>
        <v/>
      </c>
      <c r="F208">
        <f>MATCH(Sales!C208, Products!A:A, 0)</f>
        <v/>
      </c>
      <c r="G208">
        <f>OFFSET(Sales!E208,1,0)</f>
        <v/>
      </c>
      <c r="H208">
        <f>IF(AND(Sales!D208*Sales!E208&gt;5000, INDEX(Products!C:C, MATCH(Sales!C208, Products!A:A, 0))="Electronics"),"High Value","Normal")</f>
        <v/>
      </c>
    </row>
    <row r="209">
      <c r="A209">
        <f>Sales!A209</f>
        <v/>
      </c>
      <c r="B209">
        <f>VLOOKUP(Sales!C209,Products!A:E,2,FALSE)</f>
        <v/>
      </c>
      <c r="C209">
        <f>INDEX(Products!C:C, MATCH(Sales!C209, Products!A:A, 0))</f>
        <v/>
      </c>
      <c r="D209">
        <f>XLOOKUP(Sales!C209, Products!A:A, Products!D:D)</f>
        <v/>
      </c>
      <c r="E209">
        <f>Sales!D209*Sales!E209</f>
        <v/>
      </c>
      <c r="F209">
        <f>MATCH(Sales!C209, Products!A:A, 0)</f>
        <v/>
      </c>
      <c r="G209">
        <f>OFFSET(Sales!E209,1,0)</f>
        <v/>
      </c>
      <c r="H209">
        <f>IF(AND(Sales!D209*Sales!E209&gt;5000, INDEX(Products!C:C, MATCH(Sales!C209, Products!A:A, 0))="Electronics"),"High Value","Normal")</f>
        <v/>
      </c>
    </row>
    <row r="210">
      <c r="A210">
        <f>Sales!A210</f>
        <v/>
      </c>
      <c r="B210">
        <f>VLOOKUP(Sales!C210,Products!A:E,2,FALSE)</f>
        <v/>
      </c>
      <c r="C210">
        <f>INDEX(Products!C:C, MATCH(Sales!C210, Products!A:A, 0))</f>
        <v/>
      </c>
      <c r="D210">
        <f>XLOOKUP(Sales!C210, Products!A:A, Products!D:D)</f>
        <v/>
      </c>
      <c r="E210">
        <f>Sales!D210*Sales!E210</f>
        <v/>
      </c>
      <c r="F210">
        <f>MATCH(Sales!C210, Products!A:A, 0)</f>
        <v/>
      </c>
      <c r="G210">
        <f>OFFSET(Sales!E210,1,0)</f>
        <v/>
      </c>
      <c r="H210">
        <f>IF(AND(Sales!D210*Sales!E210&gt;5000, INDEX(Products!C:C, MATCH(Sales!C210, Products!A:A, 0))="Electronics"),"High Value","Normal")</f>
        <v/>
      </c>
    </row>
    <row r="211">
      <c r="A211">
        <f>Sales!A211</f>
        <v/>
      </c>
      <c r="B211">
        <f>VLOOKUP(Sales!C211,Products!A:E,2,FALSE)</f>
        <v/>
      </c>
      <c r="C211">
        <f>INDEX(Products!C:C, MATCH(Sales!C211, Products!A:A, 0))</f>
        <v/>
      </c>
      <c r="D211">
        <f>XLOOKUP(Sales!C211, Products!A:A, Products!D:D)</f>
        <v/>
      </c>
      <c r="E211">
        <f>Sales!D211*Sales!E211</f>
        <v/>
      </c>
      <c r="F211">
        <f>MATCH(Sales!C211, Products!A:A, 0)</f>
        <v/>
      </c>
      <c r="G211">
        <f>OFFSET(Sales!E211,1,0)</f>
        <v/>
      </c>
      <c r="H211">
        <f>IF(AND(Sales!D211*Sales!E211&gt;5000, INDEX(Products!C:C, MATCH(Sales!C211, Products!A:A, 0))="Electronics"),"High Value","Normal")</f>
        <v/>
      </c>
    </row>
    <row r="212">
      <c r="A212">
        <f>Sales!A212</f>
        <v/>
      </c>
      <c r="B212">
        <f>VLOOKUP(Sales!C212,Products!A:E,2,FALSE)</f>
        <v/>
      </c>
      <c r="C212">
        <f>INDEX(Products!C:C, MATCH(Sales!C212, Products!A:A, 0))</f>
        <v/>
      </c>
      <c r="D212">
        <f>XLOOKUP(Sales!C212, Products!A:A, Products!D:D)</f>
        <v/>
      </c>
      <c r="E212">
        <f>Sales!D212*Sales!E212</f>
        <v/>
      </c>
      <c r="F212">
        <f>MATCH(Sales!C212, Products!A:A, 0)</f>
        <v/>
      </c>
      <c r="G212">
        <f>OFFSET(Sales!E212,1,0)</f>
        <v/>
      </c>
      <c r="H212">
        <f>IF(AND(Sales!D212*Sales!E212&gt;5000, INDEX(Products!C:C, MATCH(Sales!C212, Products!A:A, 0))="Electronics"),"High Value","Normal")</f>
        <v/>
      </c>
    </row>
    <row r="213">
      <c r="A213">
        <f>Sales!A213</f>
        <v/>
      </c>
      <c r="B213">
        <f>VLOOKUP(Sales!C213,Products!A:E,2,FALSE)</f>
        <v/>
      </c>
      <c r="C213">
        <f>INDEX(Products!C:C, MATCH(Sales!C213, Products!A:A, 0))</f>
        <v/>
      </c>
      <c r="D213">
        <f>XLOOKUP(Sales!C213, Products!A:A, Products!D:D)</f>
        <v/>
      </c>
      <c r="E213">
        <f>Sales!D213*Sales!E213</f>
        <v/>
      </c>
      <c r="F213">
        <f>MATCH(Sales!C213, Products!A:A, 0)</f>
        <v/>
      </c>
      <c r="G213">
        <f>OFFSET(Sales!E213,1,0)</f>
        <v/>
      </c>
      <c r="H213">
        <f>IF(AND(Sales!D213*Sales!E213&gt;5000, INDEX(Products!C:C, MATCH(Sales!C213, Products!A:A, 0))="Electronics"),"High Value","Normal")</f>
        <v/>
      </c>
    </row>
    <row r="214">
      <c r="A214">
        <f>Sales!A214</f>
        <v/>
      </c>
      <c r="B214">
        <f>VLOOKUP(Sales!C214,Products!A:E,2,FALSE)</f>
        <v/>
      </c>
      <c r="C214">
        <f>INDEX(Products!C:C, MATCH(Sales!C214, Products!A:A, 0))</f>
        <v/>
      </c>
      <c r="D214">
        <f>XLOOKUP(Sales!C214, Products!A:A, Products!D:D)</f>
        <v/>
      </c>
      <c r="E214">
        <f>Sales!D214*Sales!E214</f>
        <v/>
      </c>
      <c r="F214">
        <f>MATCH(Sales!C214, Products!A:A, 0)</f>
        <v/>
      </c>
      <c r="G214">
        <f>OFFSET(Sales!E214,1,0)</f>
        <v/>
      </c>
      <c r="H214">
        <f>IF(AND(Sales!D214*Sales!E214&gt;5000, INDEX(Products!C:C, MATCH(Sales!C214, Products!A:A, 0))="Electronics"),"High Value","Normal")</f>
        <v/>
      </c>
    </row>
    <row r="215">
      <c r="A215">
        <f>Sales!A215</f>
        <v/>
      </c>
      <c r="B215">
        <f>VLOOKUP(Sales!C215,Products!A:E,2,FALSE)</f>
        <v/>
      </c>
      <c r="C215">
        <f>INDEX(Products!C:C, MATCH(Sales!C215, Products!A:A, 0))</f>
        <v/>
      </c>
      <c r="D215">
        <f>XLOOKUP(Sales!C215, Products!A:A, Products!D:D)</f>
        <v/>
      </c>
      <c r="E215">
        <f>Sales!D215*Sales!E215</f>
        <v/>
      </c>
      <c r="F215">
        <f>MATCH(Sales!C215, Products!A:A, 0)</f>
        <v/>
      </c>
      <c r="G215">
        <f>OFFSET(Sales!E215,1,0)</f>
        <v/>
      </c>
      <c r="H215">
        <f>IF(AND(Sales!D215*Sales!E215&gt;5000, INDEX(Products!C:C, MATCH(Sales!C215, Products!A:A, 0))="Electronics"),"High Value","Normal")</f>
        <v/>
      </c>
    </row>
    <row r="216">
      <c r="A216">
        <f>Sales!A216</f>
        <v/>
      </c>
      <c r="B216">
        <f>VLOOKUP(Sales!C216,Products!A:E,2,FALSE)</f>
        <v/>
      </c>
      <c r="C216">
        <f>INDEX(Products!C:C, MATCH(Sales!C216, Products!A:A, 0))</f>
        <v/>
      </c>
      <c r="D216">
        <f>XLOOKUP(Sales!C216, Products!A:A, Products!D:D)</f>
        <v/>
      </c>
      <c r="E216">
        <f>Sales!D216*Sales!E216</f>
        <v/>
      </c>
      <c r="F216">
        <f>MATCH(Sales!C216, Products!A:A, 0)</f>
        <v/>
      </c>
      <c r="G216">
        <f>OFFSET(Sales!E216,1,0)</f>
        <v/>
      </c>
      <c r="H216">
        <f>IF(AND(Sales!D216*Sales!E216&gt;5000, INDEX(Products!C:C, MATCH(Sales!C216, Products!A:A, 0))="Electronics"),"High Value","Normal")</f>
        <v/>
      </c>
    </row>
    <row r="217">
      <c r="A217">
        <f>Sales!A217</f>
        <v/>
      </c>
      <c r="B217">
        <f>VLOOKUP(Sales!C217,Products!A:E,2,FALSE)</f>
        <v/>
      </c>
      <c r="C217">
        <f>INDEX(Products!C:C, MATCH(Sales!C217, Products!A:A, 0))</f>
        <v/>
      </c>
      <c r="D217">
        <f>XLOOKUP(Sales!C217, Products!A:A, Products!D:D)</f>
        <v/>
      </c>
      <c r="E217">
        <f>Sales!D217*Sales!E217</f>
        <v/>
      </c>
      <c r="F217">
        <f>MATCH(Sales!C217, Products!A:A, 0)</f>
        <v/>
      </c>
      <c r="G217">
        <f>OFFSET(Sales!E217,1,0)</f>
        <v/>
      </c>
      <c r="H217">
        <f>IF(AND(Sales!D217*Sales!E217&gt;5000, INDEX(Products!C:C, MATCH(Sales!C217, Products!A:A, 0))="Electronics"),"High Value","Normal")</f>
        <v/>
      </c>
    </row>
    <row r="218">
      <c r="A218">
        <f>Sales!A218</f>
        <v/>
      </c>
      <c r="B218">
        <f>VLOOKUP(Sales!C218,Products!A:E,2,FALSE)</f>
        <v/>
      </c>
      <c r="C218">
        <f>INDEX(Products!C:C, MATCH(Sales!C218, Products!A:A, 0))</f>
        <v/>
      </c>
      <c r="D218">
        <f>XLOOKUP(Sales!C218, Products!A:A, Products!D:D)</f>
        <v/>
      </c>
      <c r="E218">
        <f>Sales!D218*Sales!E218</f>
        <v/>
      </c>
      <c r="F218">
        <f>MATCH(Sales!C218, Products!A:A, 0)</f>
        <v/>
      </c>
      <c r="G218">
        <f>OFFSET(Sales!E218,1,0)</f>
        <v/>
      </c>
      <c r="H218">
        <f>IF(AND(Sales!D218*Sales!E218&gt;5000, INDEX(Products!C:C, MATCH(Sales!C218, Products!A:A, 0))="Electronics"),"High Value","Normal")</f>
        <v/>
      </c>
    </row>
    <row r="219">
      <c r="A219">
        <f>Sales!A219</f>
        <v/>
      </c>
      <c r="B219">
        <f>VLOOKUP(Sales!C219,Products!A:E,2,FALSE)</f>
        <v/>
      </c>
      <c r="C219">
        <f>INDEX(Products!C:C, MATCH(Sales!C219, Products!A:A, 0))</f>
        <v/>
      </c>
      <c r="D219">
        <f>XLOOKUP(Sales!C219, Products!A:A, Products!D:D)</f>
        <v/>
      </c>
      <c r="E219">
        <f>Sales!D219*Sales!E219</f>
        <v/>
      </c>
      <c r="F219">
        <f>MATCH(Sales!C219, Products!A:A, 0)</f>
        <v/>
      </c>
      <c r="G219">
        <f>OFFSET(Sales!E219,1,0)</f>
        <v/>
      </c>
      <c r="H219">
        <f>IF(AND(Sales!D219*Sales!E219&gt;5000, INDEX(Products!C:C, MATCH(Sales!C219, Products!A:A, 0))="Electronics"),"High Value","Normal")</f>
        <v/>
      </c>
    </row>
    <row r="220">
      <c r="A220">
        <f>Sales!A220</f>
        <v/>
      </c>
      <c r="B220">
        <f>VLOOKUP(Sales!C220,Products!A:E,2,FALSE)</f>
        <v/>
      </c>
      <c r="C220">
        <f>INDEX(Products!C:C, MATCH(Sales!C220, Products!A:A, 0))</f>
        <v/>
      </c>
      <c r="D220">
        <f>XLOOKUP(Sales!C220, Products!A:A, Products!D:D)</f>
        <v/>
      </c>
      <c r="E220">
        <f>Sales!D220*Sales!E220</f>
        <v/>
      </c>
      <c r="F220">
        <f>MATCH(Sales!C220, Products!A:A, 0)</f>
        <v/>
      </c>
      <c r="G220">
        <f>OFFSET(Sales!E220,1,0)</f>
        <v/>
      </c>
      <c r="H220">
        <f>IF(AND(Sales!D220*Sales!E220&gt;5000, INDEX(Products!C:C, MATCH(Sales!C220, Products!A:A, 0))="Electronics"),"High Value","Normal")</f>
        <v/>
      </c>
    </row>
    <row r="221">
      <c r="A221">
        <f>Sales!A221</f>
        <v/>
      </c>
      <c r="B221">
        <f>VLOOKUP(Sales!C221,Products!A:E,2,FALSE)</f>
        <v/>
      </c>
      <c r="C221">
        <f>INDEX(Products!C:C, MATCH(Sales!C221, Products!A:A, 0))</f>
        <v/>
      </c>
      <c r="D221">
        <f>XLOOKUP(Sales!C221, Products!A:A, Products!D:D)</f>
        <v/>
      </c>
      <c r="E221">
        <f>Sales!D221*Sales!E221</f>
        <v/>
      </c>
      <c r="F221">
        <f>MATCH(Sales!C221, Products!A:A, 0)</f>
        <v/>
      </c>
      <c r="G221">
        <f>OFFSET(Sales!E221,1,0)</f>
        <v/>
      </c>
      <c r="H221">
        <f>IF(AND(Sales!D221*Sales!E221&gt;5000, INDEX(Products!C:C, MATCH(Sales!C221, Products!A:A, 0))="Electronics"),"High Value","Normal")</f>
        <v/>
      </c>
    </row>
    <row r="222">
      <c r="A222">
        <f>Sales!A222</f>
        <v/>
      </c>
      <c r="B222">
        <f>VLOOKUP(Sales!C222,Products!A:E,2,FALSE)</f>
        <v/>
      </c>
      <c r="C222">
        <f>INDEX(Products!C:C, MATCH(Sales!C222, Products!A:A, 0))</f>
        <v/>
      </c>
      <c r="D222">
        <f>XLOOKUP(Sales!C222, Products!A:A, Products!D:D)</f>
        <v/>
      </c>
      <c r="E222">
        <f>Sales!D222*Sales!E222</f>
        <v/>
      </c>
      <c r="F222">
        <f>MATCH(Sales!C222, Products!A:A, 0)</f>
        <v/>
      </c>
      <c r="G222">
        <f>OFFSET(Sales!E222,1,0)</f>
        <v/>
      </c>
      <c r="H222">
        <f>IF(AND(Sales!D222*Sales!E222&gt;5000, INDEX(Products!C:C, MATCH(Sales!C222, Products!A:A, 0))="Electronics"),"High Value","Normal")</f>
        <v/>
      </c>
    </row>
    <row r="223">
      <c r="A223">
        <f>Sales!A223</f>
        <v/>
      </c>
      <c r="B223">
        <f>VLOOKUP(Sales!C223,Products!A:E,2,FALSE)</f>
        <v/>
      </c>
      <c r="C223">
        <f>INDEX(Products!C:C, MATCH(Sales!C223, Products!A:A, 0))</f>
        <v/>
      </c>
      <c r="D223">
        <f>XLOOKUP(Sales!C223, Products!A:A, Products!D:D)</f>
        <v/>
      </c>
      <c r="E223">
        <f>Sales!D223*Sales!E223</f>
        <v/>
      </c>
      <c r="F223">
        <f>MATCH(Sales!C223, Products!A:A, 0)</f>
        <v/>
      </c>
      <c r="G223">
        <f>OFFSET(Sales!E223,1,0)</f>
        <v/>
      </c>
      <c r="H223">
        <f>IF(AND(Sales!D223*Sales!E223&gt;5000, INDEX(Products!C:C, MATCH(Sales!C223, Products!A:A, 0))="Electronics"),"High Value","Normal")</f>
        <v/>
      </c>
    </row>
    <row r="224">
      <c r="A224">
        <f>Sales!A224</f>
        <v/>
      </c>
      <c r="B224">
        <f>VLOOKUP(Sales!C224,Products!A:E,2,FALSE)</f>
        <v/>
      </c>
      <c r="C224">
        <f>INDEX(Products!C:C, MATCH(Sales!C224, Products!A:A, 0))</f>
        <v/>
      </c>
      <c r="D224">
        <f>XLOOKUP(Sales!C224, Products!A:A, Products!D:D)</f>
        <v/>
      </c>
      <c r="E224">
        <f>Sales!D224*Sales!E224</f>
        <v/>
      </c>
      <c r="F224">
        <f>MATCH(Sales!C224, Products!A:A, 0)</f>
        <v/>
      </c>
      <c r="G224">
        <f>OFFSET(Sales!E224,1,0)</f>
        <v/>
      </c>
      <c r="H224">
        <f>IF(AND(Sales!D224*Sales!E224&gt;5000, INDEX(Products!C:C, MATCH(Sales!C224, Products!A:A, 0))="Electronics"),"High Value","Normal")</f>
        <v/>
      </c>
    </row>
    <row r="225">
      <c r="A225">
        <f>Sales!A225</f>
        <v/>
      </c>
      <c r="B225">
        <f>VLOOKUP(Sales!C225,Products!A:E,2,FALSE)</f>
        <v/>
      </c>
      <c r="C225">
        <f>INDEX(Products!C:C, MATCH(Sales!C225, Products!A:A, 0))</f>
        <v/>
      </c>
      <c r="D225">
        <f>XLOOKUP(Sales!C225, Products!A:A, Products!D:D)</f>
        <v/>
      </c>
      <c r="E225">
        <f>Sales!D225*Sales!E225</f>
        <v/>
      </c>
      <c r="F225">
        <f>MATCH(Sales!C225, Products!A:A, 0)</f>
        <v/>
      </c>
      <c r="G225">
        <f>OFFSET(Sales!E225,1,0)</f>
        <v/>
      </c>
      <c r="H225">
        <f>IF(AND(Sales!D225*Sales!E225&gt;5000, INDEX(Products!C:C, MATCH(Sales!C225, Products!A:A, 0))="Electronics"),"High Value","Normal")</f>
        <v/>
      </c>
    </row>
    <row r="226">
      <c r="A226">
        <f>Sales!A226</f>
        <v/>
      </c>
      <c r="B226">
        <f>VLOOKUP(Sales!C226,Products!A:E,2,FALSE)</f>
        <v/>
      </c>
      <c r="C226">
        <f>INDEX(Products!C:C, MATCH(Sales!C226, Products!A:A, 0))</f>
        <v/>
      </c>
      <c r="D226">
        <f>XLOOKUP(Sales!C226, Products!A:A, Products!D:D)</f>
        <v/>
      </c>
      <c r="E226">
        <f>Sales!D226*Sales!E226</f>
        <v/>
      </c>
      <c r="F226">
        <f>MATCH(Sales!C226, Products!A:A, 0)</f>
        <v/>
      </c>
      <c r="G226">
        <f>OFFSET(Sales!E226,1,0)</f>
        <v/>
      </c>
      <c r="H226">
        <f>IF(AND(Sales!D226*Sales!E226&gt;5000, INDEX(Products!C:C, MATCH(Sales!C226, Products!A:A, 0))="Electronics"),"High Value","Normal")</f>
        <v/>
      </c>
    </row>
    <row r="227">
      <c r="A227">
        <f>Sales!A227</f>
        <v/>
      </c>
      <c r="B227">
        <f>VLOOKUP(Sales!C227,Products!A:E,2,FALSE)</f>
        <v/>
      </c>
      <c r="C227">
        <f>INDEX(Products!C:C, MATCH(Sales!C227, Products!A:A, 0))</f>
        <v/>
      </c>
      <c r="D227">
        <f>XLOOKUP(Sales!C227, Products!A:A, Products!D:D)</f>
        <v/>
      </c>
      <c r="E227">
        <f>Sales!D227*Sales!E227</f>
        <v/>
      </c>
      <c r="F227">
        <f>MATCH(Sales!C227, Products!A:A, 0)</f>
        <v/>
      </c>
      <c r="G227">
        <f>OFFSET(Sales!E227,1,0)</f>
        <v/>
      </c>
      <c r="H227">
        <f>IF(AND(Sales!D227*Sales!E227&gt;5000, INDEX(Products!C:C, MATCH(Sales!C227, Products!A:A, 0))="Electronics"),"High Value","Normal")</f>
        <v/>
      </c>
    </row>
    <row r="228">
      <c r="A228">
        <f>Sales!A228</f>
        <v/>
      </c>
      <c r="B228">
        <f>VLOOKUP(Sales!C228,Products!A:E,2,FALSE)</f>
        <v/>
      </c>
      <c r="C228">
        <f>INDEX(Products!C:C, MATCH(Sales!C228, Products!A:A, 0))</f>
        <v/>
      </c>
      <c r="D228">
        <f>XLOOKUP(Sales!C228, Products!A:A, Products!D:D)</f>
        <v/>
      </c>
      <c r="E228">
        <f>Sales!D228*Sales!E228</f>
        <v/>
      </c>
      <c r="F228">
        <f>MATCH(Sales!C228, Products!A:A, 0)</f>
        <v/>
      </c>
      <c r="G228">
        <f>OFFSET(Sales!E228,1,0)</f>
        <v/>
      </c>
      <c r="H228">
        <f>IF(AND(Sales!D228*Sales!E228&gt;5000, INDEX(Products!C:C, MATCH(Sales!C228, Products!A:A, 0))="Electronics"),"High Value","Normal")</f>
        <v/>
      </c>
    </row>
    <row r="229">
      <c r="A229">
        <f>Sales!A229</f>
        <v/>
      </c>
      <c r="B229">
        <f>VLOOKUP(Sales!C229,Products!A:E,2,FALSE)</f>
        <v/>
      </c>
      <c r="C229">
        <f>INDEX(Products!C:C, MATCH(Sales!C229, Products!A:A, 0))</f>
        <v/>
      </c>
      <c r="D229">
        <f>XLOOKUP(Sales!C229, Products!A:A, Products!D:D)</f>
        <v/>
      </c>
      <c r="E229">
        <f>Sales!D229*Sales!E229</f>
        <v/>
      </c>
      <c r="F229">
        <f>MATCH(Sales!C229, Products!A:A, 0)</f>
        <v/>
      </c>
      <c r="G229">
        <f>OFFSET(Sales!E229,1,0)</f>
        <v/>
      </c>
      <c r="H229">
        <f>IF(AND(Sales!D229*Sales!E229&gt;5000, INDEX(Products!C:C, MATCH(Sales!C229, Products!A:A, 0))="Electronics"),"High Value","Normal")</f>
        <v/>
      </c>
    </row>
    <row r="230">
      <c r="A230">
        <f>Sales!A230</f>
        <v/>
      </c>
      <c r="B230">
        <f>VLOOKUP(Sales!C230,Products!A:E,2,FALSE)</f>
        <v/>
      </c>
      <c r="C230">
        <f>INDEX(Products!C:C, MATCH(Sales!C230, Products!A:A, 0))</f>
        <v/>
      </c>
      <c r="D230">
        <f>XLOOKUP(Sales!C230, Products!A:A, Products!D:D)</f>
        <v/>
      </c>
      <c r="E230">
        <f>Sales!D230*Sales!E230</f>
        <v/>
      </c>
      <c r="F230">
        <f>MATCH(Sales!C230, Products!A:A, 0)</f>
        <v/>
      </c>
      <c r="G230">
        <f>OFFSET(Sales!E230,1,0)</f>
        <v/>
      </c>
      <c r="H230">
        <f>IF(AND(Sales!D230*Sales!E230&gt;5000, INDEX(Products!C:C, MATCH(Sales!C230, Products!A:A, 0))="Electronics"),"High Value","Normal")</f>
        <v/>
      </c>
    </row>
    <row r="231">
      <c r="A231">
        <f>Sales!A231</f>
        <v/>
      </c>
      <c r="B231">
        <f>VLOOKUP(Sales!C231,Products!A:E,2,FALSE)</f>
        <v/>
      </c>
      <c r="C231">
        <f>INDEX(Products!C:C, MATCH(Sales!C231, Products!A:A, 0))</f>
        <v/>
      </c>
      <c r="D231">
        <f>XLOOKUP(Sales!C231, Products!A:A, Products!D:D)</f>
        <v/>
      </c>
      <c r="E231">
        <f>Sales!D231*Sales!E231</f>
        <v/>
      </c>
      <c r="F231">
        <f>MATCH(Sales!C231, Products!A:A, 0)</f>
        <v/>
      </c>
      <c r="G231">
        <f>OFFSET(Sales!E231,1,0)</f>
        <v/>
      </c>
      <c r="H231">
        <f>IF(AND(Sales!D231*Sales!E231&gt;5000, INDEX(Products!C:C, MATCH(Sales!C231, Products!A:A, 0))="Electronics"),"High Value","Normal")</f>
        <v/>
      </c>
    </row>
    <row r="232">
      <c r="A232">
        <f>Sales!A232</f>
        <v/>
      </c>
      <c r="B232">
        <f>VLOOKUP(Sales!C232,Products!A:E,2,FALSE)</f>
        <v/>
      </c>
      <c r="C232">
        <f>INDEX(Products!C:C, MATCH(Sales!C232, Products!A:A, 0))</f>
        <v/>
      </c>
      <c r="D232">
        <f>XLOOKUP(Sales!C232, Products!A:A, Products!D:D)</f>
        <v/>
      </c>
      <c r="E232">
        <f>Sales!D232*Sales!E232</f>
        <v/>
      </c>
      <c r="F232">
        <f>MATCH(Sales!C232, Products!A:A, 0)</f>
        <v/>
      </c>
      <c r="G232">
        <f>OFFSET(Sales!E232,1,0)</f>
        <v/>
      </c>
      <c r="H232">
        <f>IF(AND(Sales!D232*Sales!E232&gt;5000, INDEX(Products!C:C, MATCH(Sales!C232, Products!A:A, 0))="Electronics"),"High Value","Normal")</f>
        <v/>
      </c>
    </row>
    <row r="233">
      <c r="A233">
        <f>Sales!A233</f>
        <v/>
      </c>
      <c r="B233">
        <f>VLOOKUP(Sales!C233,Products!A:E,2,FALSE)</f>
        <v/>
      </c>
      <c r="C233">
        <f>INDEX(Products!C:C, MATCH(Sales!C233, Products!A:A, 0))</f>
        <v/>
      </c>
      <c r="D233">
        <f>XLOOKUP(Sales!C233, Products!A:A, Products!D:D)</f>
        <v/>
      </c>
      <c r="E233">
        <f>Sales!D233*Sales!E233</f>
        <v/>
      </c>
      <c r="F233">
        <f>MATCH(Sales!C233, Products!A:A, 0)</f>
        <v/>
      </c>
      <c r="G233">
        <f>OFFSET(Sales!E233,1,0)</f>
        <v/>
      </c>
      <c r="H233">
        <f>IF(AND(Sales!D233*Sales!E233&gt;5000, INDEX(Products!C:C, MATCH(Sales!C233, Products!A:A, 0))="Electronics"),"High Value","Normal")</f>
        <v/>
      </c>
    </row>
    <row r="234">
      <c r="A234">
        <f>Sales!A234</f>
        <v/>
      </c>
      <c r="B234">
        <f>VLOOKUP(Sales!C234,Products!A:E,2,FALSE)</f>
        <v/>
      </c>
      <c r="C234">
        <f>INDEX(Products!C:C, MATCH(Sales!C234, Products!A:A, 0))</f>
        <v/>
      </c>
      <c r="D234">
        <f>XLOOKUP(Sales!C234, Products!A:A, Products!D:D)</f>
        <v/>
      </c>
      <c r="E234">
        <f>Sales!D234*Sales!E234</f>
        <v/>
      </c>
      <c r="F234">
        <f>MATCH(Sales!C234, Products!A:A, 0)</f>
        <v/>
      </c>
      <c r="G234">
        <f>OFFSET(Sales!E234,1,0)</f>
        <v/>
      </c>
      <c r="H234">
        <f>IF(AND(Sales!D234*Sales!E234&gt;5000, INDEX(Products!C:C, MATCH(Sales!C234, Products!A:A, 0))="Electronics"),"High Value","Normal")</f>
        <v/>
      </c>
    </row>
    <row r="235">
      <c r="A235">
        <f>Sales!A235</f>
        <v/>
      </c>
      <c r="B235">
        <f>VLOOKUP(Sales!C235,Products!A:E,2,FALSE)</f>
        <v/>
      </c>
      <c r="C235">
        <f>INDEX(Products!C:C, MATCH(Sales!C235, Products!A:A, 0))</f>
        <v/>
      </c>
      <c r="D235">
        <f>XLOOKUP(Sales!C235, Products!A:A, Products!D:D)</f>
        <v/>
      </c>
      <c r="E235">
        <f>Sales!D235*Sales!E235</f>
        <v/>
      </c>
      <c r="F235">
        <f>MATCH(Sales!C235, Products!A:A, 0)</f>
        <v/>
      </c>
      <c r="G235">
        <f>OFFSET(Sales!E235,1,0)</f>
        <v/>
      </c>
      <c r="H235">
        <f>IF(AND(Sales!D235*Sales!E235&gt;5000, INDEX(Products!C:C, MATCH(Sales!C235, Products!A:A, 0))="Electronics"),"High Value","Normal")</f>
        <v/>
      </c>
    </row>
    <row r="236">
      <c r="A236">
        <f>Sales!A236</f>
        <v/>
      </c>
      <c r="B236">
        <f>VLOOKUP(Sales!C236,Products!A:E,2,FALSE)</f>
        <v/>
      </c>
      <c r="C236">
        <f>INDEX(Products!C:C, MATCH(Sales!C236, Products!A:A, 0))</f>
        <v/>
      </c>
      <c r="D236">
        <f>XLOOKUP(Sales!C236, Products!A:A, Products!D:D)</f>
        <v/>
      </c>
      <c r="E236">
        <f>Sales!D236*Sales!E236</f>
        <v/>
      </c>
      <c r="F236">
        <f>MATCH(Sales!C236, Products!A:A, 0)</f>
        <v/>
      </c>
      <c r="G236">
        <f>OFFSET(Sales!E236,1,0)</f>
        <v/>
      </c>
      <c r="H236">
        <f>IF(AND(Sales!D236*Sales!E236&gt;5000, INDEX(Products!C:C, MATCH(Sales!C236, Products!A:A, 0))="Electronics"),"High Value","Normal")</f>
        <v/>
      </c>
    </row>
    <row r="237">
      <c r="A237">
        <f>Sales!A237</f>
        <v/>
      </c>
      <c r="B237">
        <f>VLOOKUP(Sales!C237,Products!A:E,2,FALSE)</f>
        <v/>
      </c>
      <c r="C237">
        <f>INDEX(Products!C:C, MATCH(Sales!C237, Products!A:A, 0))</f>
        <v/>
      </c>
      <c r="D237">
        <f>XLOOKUP(Sales!C237, Products!A:A, Products!D:D)</f>
        <v/>
      </c>
      <c r="E237">
        <f>Sales!D237*Sales!E237</f>
        <v/>
      </c>
      <c r="F237">
        <f>MATCH(Sales!C237, Products!A:A, 0)</f>
        <v/>
      </c>
      <c r="G237">
        <f>OFFSET(Sales!E237,1,0)</f>
        <v/>
      </c>
      <c r="H237">
        <f>IF(AND(Sales!D237*Sales!E237&gt;5000, INDEX(Products!C:C, MATCH(Sales!C237, Products!A:A, 0))="Electronics"),"High Value","Normal")</f>
        <v/>
      </c>
    </row>
    <row r="238">
      <c r="A238">
        <f>Sales!A238</f>
        <v/>
      </c>
      <c r="B238">
        <f>VLOOKUP(Sales!C238,Products!A:E,2,FALSE)</f>
        <v/>
      </c>
      <c r="C238">
        <f>INDEX(Products!C:C, MATCH(Sales!C238, Products!A:A, 0))</f>
        <v/>
      </c>
      <c r="D238">
        <f>XLOOKUP(Sales!C238, Products!A:A, Products!D:D)</f>
        <v/>
      </c>
      <c r="E238">
        <f>Sales!D238*Sales!E238</f>
        <v/>
      </c>
      <c r="F238">
        <f>MATCH(Sales!C238, Products!A:A, 0)</f>
        <v/>
      </c>
      <c r="G238">
        <f>OFFSET(Sales!E238,1,0)</f>
        <v/>
      </c>
      <c r="H238">
        <f>IF(AND(Sales!D238*Sales!E238&gt;5000, INDEX(Products!C:C, MATCH(Sales!C238, Products!A:A, 0))="Electronics"),"High Value","Normal")</f>
        <v/>
      </c>
    </row>
    <row r="239">
      <c r="A239">
        <f>Sales!A239</f>
        <v/>
      </c>
      <c r="B239">
        <f>VLOOKUP(Sales!C239,Products!A:E,2,FALSE)</f>
        <v/>
      </c>
      <c r="C239">
        <f>INDEX(Products!C:C, MATCH(Sales!C239, Products!A:A, 0))</f>
        <v/>
      </c>
      <c r="D239">
        <f>XLOOKUP(Sales!C239, Products!A:A, Products!D:D)</f>
        <v/>
      </c>
      <c r="E239">
        <f>Sales!D239*Sales!E239</f>
        <v/>
      </c>
      <c r="F239">
        <f>MATCH(Sales!C239, Products!A:A, 0)</f>
        <v/>
      </c>
      <c r="G239">
        <f>OFFSET(Sales!E239,1,0)</f>
        <v/>
      </c>
      <c r="H239">
        <f>IF(AND(Sales!D239*Sales!E239&gt;5000, INDEX(Products!C:C, MATCH(Sales!C239, Products!A:A, 0))="Electronics"),"High Value","Normal")</f>
        <v/>
      </c>
    </row>
    <row r="240">
      <c r="A240">
        <f>Sales!A240</f>
        <v/>
      </c>
      <c r="B240">
        <f>VLOOKUP(Sales!C240,Products!A:E,2,FALSE)</f>
        <v/>
      </c>
      <c r="C240">
        <f>INDEX(Products!C:C, MATCH(Sales!C240, Products!A:A, 0))</f>
        <v/>
      </c>
      <c r="D240">
        <f>XLOOKUP(Sales!C240, Products!A:A, Products!D:D)</f>
        <v/>
      </c>
      <c r="E240">
        <f>Sales!D240*Sales!E240</f>
        <v/>
      </c>
      <c r="F240">
        <f>MATCH(Sales!C240, Products!A:A, 0)</f>
        <v/>
      </c>
      <c r="G240">
        <f>OFFSET(Sales!E240,1,0)</f>
        <v/>
      </c>
      <c r="H240">
        <f>IF(AND(Sales!D240*Sales!E240&gt;5000, INDEX(Products!C:C, MATCH(Sales!C240, Products!A:A, 0))="Electronics"),"High Value","Normal")</f>
        <v/>
      </c>
    </row>
    <row r="241">
      <c r="A241">
        <f>Sales!A241</f>
        <v/>
      </c>
      <c r="B241">
        <f>VLOOKUP(Sales!C241,Products!A:E,2,FALSE)</f>
        <v/>
      </c>
      <c r="C241">
        <f>INDEX(Products!C:C, MATCH(Sales!C241, Products!A:A, 0))</f>
        <v/>
      </c>
      <c r="D241">
        <f>XLOOKUP(Sales!C241, Products!A:A, Products!D:D)</f>
        <v/>
      </c>
      <c r="E241">
        <f>Sales!D241*Sales!E241</f>
        <v/>
      </c>
      <c r="F241">
        <f>MATCH(Sales!C241, Products!A:A, 0)</f>
        <v/>
      </c>
      <c r="G241">
        <f>OFFSET(Sales!E241,1,0)</f>
        <v/>
      </c>
      <c r="H241">
        <f>IF(AND(Sales!D241*Sales!E241&gt;5000, INDEX(Products!C:C, MATCH(Sales!C241, Products!A:A, 0))="Electronics"),"High Value","Normal")</f>
        <v/>
      </c>
    </row>
    <row r="242">
      <c r="A242">
        <f>Sales!A242</f>
        <v/>
      </c>
      <c r="B242">
        <f>VLOOKUP(Sales!C242,Products!A:E,2,FALSE)</f>
        <v/>
      </c>
      <c r="C242">
        <f>INDEX(Products!C:C, MATCH(Sales!C242, Products!A:A, 0))</f>
        <v/>
      </c>
      <c r="D242">
        <f>XLOOKUP(Sales!C242, Products!A:A, Products!D:D)</f>
        <v/>
      </c>
      <c r="E242">
        <f>Sales!D242*Sales!E242</f>
        <v/>
      </c>
      <c r="F242">
        <f>MATCH(Sales!C242, Products!A:A, 0)</f>
        <v/>
      </c>
      <c r="G242">
        <f>OFFSET(Sales!E242,1,0)</f>
        <v/>
      </c>
      <c r="H242">
        <f>IF(AND(Sales!D242*Sales!E242&gt;5000, INDEX(Products!C:C, MATCH(Sales!C242, Products!A:A, 0))="Electronics"),"High Value","Normal")</f>
        <v/>
      </c>
    </row>
    <row r="243">
      <c r="A243">
        <f>Sales!A243</f>
        <v/>
      </c>
      <c r="B243">
        <f>VLOOKUP(Sales!C243,Products!A:E,2,FALSE)</f>
        <v/>
      </c>
      <c r="C243">
        <f>INDEX(Products!C:C, MATCH(Sales!C243, Products!A:A, 0))</f>
        <v/>
      </c>
      <c r="D243">
        <f>XLOOKUP(Sales!C243, Products!A:A, Products!D:D)</f>
        <v/>
      </c>
      <c r="E243">
        <f>Sales!D243*Sales!E243</f>
        <v/>
      </c>
      <c r="F243">
        <f>MATCH(Sales!C243, Products!A:A, 0)</f>
        <v/>
      </c>
      <c r="G243">
        <f>OFFSET(Sales!E243,1,0)</f>
        <v/>
      </c>
      <c r="H243">
        <f>IF(AND(Sales!D243*Sales!E243&gt;5000, INDEX(Products!C:C, MATCH(Sales!C243, Products!A:A, 0))="Electronics"),"High Value","Normal")</f>
        <v/>
      </c>
    </row>
    <row r="244">
      <c r="A244">
        <f>Sales!A244</f>
        <v/>
      </c>
      <c r="B244">
        <f>VLOOKUP(Sales!C244,Products!A:E,2,FALSE)</f>
        <v/>
      </c>
      <c r="C244">
        <f>INDEX(Products!C:C, MATCH(Sales!C244, Products!A:A, 0))</f>
        <v/>
      </c>
      <c r="D244">
        <f>XLOOKUP(Sales!C244, Products!A:A, Products!D:D)</f>
        <v/>
      </c>
      <c r="E244">
        <f>Sales!D244*Sales!E244</f>
        <v/>
      </c>
      <c r="F244">
        <f>MATCH(Sales!C244, Products!A:A, 0)</f>
        <v/>
      </c>
      <c r="G244">
        <f>OFFSET(Sales!E244,1,0)</f>
        <v/>
      </c>
      <c r="H244">
        <f>IF(AND(Sales!D244*Sales!E244&gt;5000, INDEX(Products!C:C, MATCH(Sales!C244, Products!A:A, 0))="Electronics"),"High Value","Normal")</f>
        <v/>
      </c>
    </row>
    <row r="245">
      <c r="A245">
        <f>Sales!A245</f>
        <v/>
      </c>
      <c r="B245">
        <f>VLOOKUP(Sales!C245,Products!A:E,2,FALSE)</f>
        <v/>
      </c>
      <c r="C245">
        <f>INDEX(Products!C:C, MATCH(Sales!C245, Products!A:A, 0))</f>
        <v/>
      </c>
      <c r="D245">
        <f>XLOOKUP(Sales!C245, Products!A:A, Products!D:D)</f>
        <v/>
      </c>
      <c r="E245">
        <f>Sales!D245*Sales!E245</f>
        <v/>
      </c>
      <c r="F245">
        <f>MATCH(Sales!C245, Products!A:A, 0)</f>
        <v/>
      </c>
      <c r="G245">
        <f>OFFSET(Sales!E245,1,0)</f>
        <v/>
      </c>
      <c r="H245">
        <f>IF(AND(Sales!D245*Sales!E245&gt;5000, INDEX(Products!C:C, MATCH(Sales!C245, Products!A:A, 0))="Electronics"),"High Value","Normal")</f>
        <v/>
      </c>
    </row>
    <row r="246">
      <c r="A246">
        <f>Sales!A246</f>
        <v/>
      </c>
      <c r="B246">
        <f>VLOOKUP(Sales!C246,Products!A:E,2,FALSE)</f>
        <v/>
      </c>
      <c r="C246">
        <f>INDEX(Products!C:C, MATCH(Sales!C246, Products!A:A, 0))</f>
        <v/>
      </c>
      <c r="D246">
        <f>XLOOKUP(Sales!C246, Products!A:A, Products!D:D)</f>
        <v/>
      </c>
      <c r="E246">
        <f>Sales!D246*Sales!E246</f>
        <v/>
      </c>
      <c r="F246">
        <f>MATCH(Sales!C246, Products!A:A, 0)</f>
        <v/>
      </c>
      <c r="G246">
        <f>OFFSET(Sales!E246,1,0)</f>
        <v/>
      </c>
      <c r="H246">
        <f>IF(AND(Sales!D246*Sales!E246&gt;5000, INDEX(Products!C:C, MATCH(Sales!C246, Products!A:A, 0))="Electronics"),"High Value","Normal")</f>
        <v/>
      </c>
    </row>
    <row r="247">
      <c r="A247">
        <f>Sales!A247</f>
        <v/>
      </c>
      <c r="B247">
        <f>VLOOKUP(Sales!C247,Products!A:E,2,FALSE)</f>
        <v/>
      </c>
      <c r="C247">
        <f>INDEX(Products!C:C, MATCH(Sales!C247, Products!A:A, 0))</f>
        <v/>
      </c>
      <c r="D247">
        <f>XLOOKUP(Sales!C247, Products!A:A, Products!D:D)</f>
        <v/>
      </c>
      <c r="E247">
        <f>Sales!D247*Sales!E247</f>
        <v/>
      </c>
      <c r="F247">
        <f>MATCH(Sales!C247, Products!A:A, 0)</f>
        <v/>
      </c>
      <c r="G247">
        <f>OFFSET(Sales!E247,1,0)</f>
        <v/>
      </c>
      <c r="H247">
        <f>IF(AND(Sales!D247*Sales!E247&gt;5000, INDEX(Products!C:C, MATCH(Sales!C247, Products!A:A, 0))="Electronics"),"High Value","Normal")</f>
        <v/>
      </c>
    </row>
    <row r="248">
      <c r="A248">
        <f>Sales!A248</f>
        <v/>
      </c>
      <c r="B248">
        <f>VLOOKUP(Sales!C248,Products!A:E,2,FALSE)</f>
        <v/>
      </c>
      <c r="C248">
        <f>INDEX(Products!C:C, MATCH(Sales!C248, Products!A:A, 0))</f>
        <v/>
      </c>
      <c r="D248">
        <f>XLOOKUP(Sales!C248, Products!A:A, Products!D:D)</f>
        <v/>
      </c>
      <c r="E248">
        <f>Sales!D248*Sales!E248</f>
        <v/>
      </c>
      <c r="F248">
        <f>MATCH(Sales!C248, Products!A:A, 0)</f>
        <v/>
      </c>
      <c r="G248">
        <f>OFFSET(Sales!E248,1,0)</f>
        <v/>
      </c>
      <c r="H248">
        <f>IF(AND(Sales!D248*Sales!E248&gt;5000, INDEX(Products!C:C, MATCH(Sales!C248, Products!A:A, 0))="Electronics"),"High Value","Normal")</f>
        <v/>
      </c>
    </row>
    <row r="249">
      <c r="A249">
        <f>Sales!A249</f>
        <v/>
      </c>
      <c r="B249">
        <f>VLOOKUP(Sales!C249,Products!A:E,2,FALSE)</f>
        <v/>
      </c>
      <c r="C249">
        <f>INDEX(Products!C:C, MATCH(Sales!C249, Products!A:A, 0))</f>
        <v/>
      </c>
      <c r="D249">
        <f>XLOOKUP(Sales!C249, Products!A:A, Products!D:D)</f>
        <v/>
      </c>
      <c r="E249">
        <f>Sales!D249*Sales!E249</f>
        <v/>
      </c>
      <c r="F249">
        <f>MATCH(Sales!C249, Products!A:A, 0)</f>
        <v/>
      </c>
      <c r="G249">
        <f>OFFSET(Sales!E249,1,0)</f>
        <v/>
      </c>
      <c r="H249">
        <f>IF(AND(Sales!D249*Sales!E249&gt;5000, INDEX(Products!C:C, MATCH(Sales!C249, Products!A:A, 0))="Electronics"),"High Value","Normal")</f>
        <v/>
      </c>
    </row>
    <row r="250">
      <c r="A250">
        <f>Sales!A250</f>
        <v/>
      </c>
      <c r="B250">
        <f>VLOOKUP(Sales!C250,Products!A:E,2,FALSE)</f>
        <v/>
      </c>
      <c r="C250">
        <f>INDEX(Products!C:C, MATCH(Sales!C250, Products!A:A, 0))</f>
        <v/>
      </c>
      <c r="D250">
        <f>XLOOKUP(Sales!C250, Products!A:A, Products!D:D)</f>
        <v/>
      </c>
      <c r="E250">
        <f>Sales!D250*Sales!E250</f>
        <v/>
      </c>
      <c r="F250">
        <f>MATCH(Sales!C250, Products!A:A, 0)</f>
        <v/>
      </c>
      <c r="G250">
        <f>OFFSET(Sales!E250,1,0)</f>
        <v/>
      </c>
      <c r="H250">
        <f>IF(AND(Sales!D250*Sales!E250&gt;5000, INDEX(Products!C:C, MATCH(Sales!C250, Products!A:A, 0))="Electronics"),"High Value","Normal")</f>
        <v/>
      </c>
    </row>
    <row r="251">
      <c r="A251">
        <f>Sales!A251</f>
        <v/>
      </c>
      <c r="B251">
        <f>VLOOKUP(Sales!C251,Products!A:E,2,FALSE)</f>
        <v/>
      </c>
      <c r="C251">
        <f>INDEX(Products!C:C, MATCH(Sales!C251, Products!A:A, 0))</f>
        <v/>
      </c>
      <c r="D251">
        <f>XLOOKUP(Sales!C251, Products!A:A, Products!D:D)</f>
        <v/>
      </c>
      <c r="E251">
        <f>Sales!D251*Sales!E251</f>
        <v/>
      </c>
      <c r="F251">
        <f>MATCH(Sales!C251, Products!A:A, 0)</f>
        <v/>
      </c>
      <c r="G251">
        <f>OFFSET(Sales!E251,1,0)</f>
        <v/>
      </c>
      <c r="H251">
        <f>IF(AND(Sales!D251*Sales!E251&gt;5000, INDEX(Products!C:C, MATCH(Sales!C251, Products!A:A, 0))="Electronics"),"High Value","Normal")</f>
        <v/>
      </c>
    </row>
    <row r="252">
      <c r="A252">
        <f>Sales!A252</f>
        <v/>
      </c>
      <c r="B252">
        <f>VLOOKUP(Sales!C252,Products!A:E,2,FALSE)</f>
        <v/>
      </c>
      <c r="C252">
        <f>INDEX(Products!C:C, MATCH(Sales!C252, Products!A:A, 0))</f>
        <v/>
      </c>
      <c r="D252">
        <f>XLOOKUP(Sales!C252, Products!A:A, Products!D:D)</f>
        <v/>
      </c>
      <c r="E252">
        <f>Sales!D252*Sales!E252</f>
        <v/>
      </c>
      <c r="F252">
        <f>MATCH(Sales!C252, Products!A:A, 0)</f>
        <v/>
      </c>
      <c r="G252">
        <f>OFFSET(Sales!E252,1,0)</f>
        <v/>
      </c>
      <c r="H252">
        <f>IF(AND(Sales!D252*Sales!E252&gt;5000, INDEX(Products!C:C, MATCH(Sales!C252, Products!A:A, 0))="Electronics"),"High Value","Normal")</f>
        <v/>
      </c>
    </row>
    <row r="253">
      <c r="A253">
        <f>Sales!A253</f>
        <v/>
      </c>
      <c r="B253">
        <f>VLOOKUP(Sales!C253,Products!A:E,2,FALSE)</f>
        <v/>
      </c>
      <c r="C253">
        <f>INDEX(Products!C:C, MATCH(Sales!C253, Products!A:A, 0))</f>
        <v/>
      </c>
      <c r="D253">
        <f>XLOOKUP(Sales!C253, Products!A:A, Products!D:D)</f>
        <v/>
      </c>
      <c r="E253">
        <f>Sales!D253*Sales!E253</f>
        <v/>
      </c>
      <c r="F253">
        <f>MATCH(Sales!C253, Products!A:A, 0)</f>
        <v/>
      </c>
      <c r="G253">
        <f>OFFSET(Sales!E253,1,0)</f>
        <v/>
      </c>
      <c r="H253">
        <f>IF(AND(Sales!D253*Sales!E253&gt;5000, INDEX(Products!C:C, MATCH(Sales!C253, Products!A:A, 0))="Electronics"),"High Value","Normal")</f>
        <v/>
      </c>
    </row>
    <row r="254">
      <c r="A254">
        <f>Sales!A254</f>
        <v/>
      </c>
      <c r="B254">
        <f>VLOOKUP(Sales!C254,Products!A:E,2,FALSE)</f>
        <v/>
      </c>
      <c r="C254">
        <f>INDEX(Products!C:C, MATCH(Sales!C254, Products!A:A, 0))</f>
        <v/>
      </c>
      <c r="D254">
        <f>XLOOKUP(Sales!C254, Products!A:A, Products!D:D)</f>
        <v/>
      </c>
      <c r="E254">
        <f>Sales!D254*Sales!E254</f>
        <v/>
      </c>
      <c r="F254">
        <f>MATCH(Sales!C254, Products!A:A, 0)</f>
        <v/>
      </c>
      <c r="G254">
        <f>OFFSET(Sales!E254,1,0)</f>
        <v/>
      </c>
      <c r="H254">
        <f>IF(AND(Sales!D254*Sales!E254&gt;5000, INDEX(Products!C:C, MATCH(Sales!C254, Products!A:A, 0))="Electronics"),"High Value","Normal")</f>
        <v/>
      </c>
    </row>
    <row r="255">
      <c r="A255">
        <f>Sales!A255</f>
        <v/>
      </c>
      <c r="B255">
        <f>VLOOKUP(Sales!C255,Products!A:E,2,FALSE)</f>
        <v/>
      </c>
      <c r="C255">
        <f>INDEX(Products!C:C, MATCH(Sales!C255, Products!A:A, 0))</f>
        <v/>
      </c>
      <c r="D255">
        <f>XLOOKUP(Sales!C255, Products!A:A, Products!D:D)</f>
        <v/>
      </c>
      <c r="E255">
        <f>Sales!D255*Sales!E255</f>
        <v/>
      </c>
      <c r="F255">
        <f>MATCH(Sales!C255, Products!A:A, 0)</f>
        <v/>
      </c>
      <c r="G255">
        <f>OFFSET(Sales!E255,1,0)</f>
        <v/>
      </c>
      <c r="H255">
        <f>IF(AND(Sales!D255*Sales!E255&gt;5000, INDEX(Products!C:C, MATCH(Sales!C255, Products!A:A, 0))="Electronics"),"High Value","Normal")</f>
        <v/>
      </c>
    </row>
    <row r="256">
      <c r="A256">
        <f>Sales!A256</f>
        <v/>
      </c>
      <c r="B256">
        <f>VLOOKUP(Sales!C256,Products!A:E,2,FALSE)</f>
        <v/>
      </c>
      <c r="C256">
        <f>INDEX(Products!C:C, MATCH(Sales!C256, Products!A:A, 0))</f>
        <v/>
      </c>
      <c r="D256">
        <f>XLOOKUP(Sales!C256, Products!A:A, Products!D:D)</f>
        <v/>
      </c>
      <c r="E256">
        <f>Sales!D256*Sales!E256</f>
        <v/>
      </c>
      <c r="F256">
        <f>MATCH(Sales!C256, Products!A:A, 0)</f>
        <v/>
      </c>
      <c r="G256">
        <f>OFFSET(Sales!E256,1,0)</f>
        <v/>
      </c>
      <c r="H256">
        <f>IF(AND(Sales!D256*Sales!E256&gt;5000, INDEX(Products!C:C, MATCH(Sales!C256, Products!A:A, 0))="Electronics"),"High Value","Normal")</f>
        <v/>
      </c>
    </row>
    <row r="257">
      <c r="A257">
        <f>Sales!A257</f>
        <v/>
      </c>
      <c r="B257">
        <f>VLOOKUP(Sales!C257,Products!A:E,2,FALSE)</f>
        <v/>
      </c>
      <c r="C257">
        <f>INDEX(Products!C:C, MATCH(Sales!C257, Products!A:A, 0))</f>
        <v/>
      </c>
      <c r="D257">
        <f>XLOOKUP(Sales!C257, Products!A:A, Products!D:D)</f>
        <v/>
      </c>
      <c r="E257">
        <f>Sales!D257*Sales!E257</f>
        <v/>
      </c>
      <c r="F257">
        <f>MATCH(Sales!C257, Products!A:A, 0)</f>
        <v/>
      </c>
      <c r="G257">
        <f>OFFSET(Sales!E257,1,0)</f>
        <v/>
      </c>
      <c r="H257">
        <f>IF(AND(Sales!D257*Sales!E257&gt;5000, INDEX(Products!C:C, MATCH(Sales!C257, Products!A:A, 0))="Electronics"),"High Value","Normal")</f>
        <v/>
      </c>
    </row>
    <row r="258">
      <c r="A258">
        <f>Sales!A258</f>
        <v/>
      </c>
      <c r="B258">
        <f>VLOOKUP(Sales!C258,Products!A:E,2,FALSE)</f>
        <v/>
      </c>
      <c r="C258">
        <f>INDEX(Products!C:C, MATCH(Sales!C258, Products!A:A, 0))</f>
        <v/>
      </c>
      <c r="D258">
        <f>XLOOKUP(Sales!C258, Products!A:A, Products!D:D)</f>
        <v/>
      </c>
      <c r="E258">
        <f>Sales!D258*Sales!E258</f>
        <v/>
      </c>
      <c r="F258">
        <f>MATCH(Sales!C258, Products!A:A, 0)</f>
        <v/>
      </c>
      <c r="G258">
        <f>OFFSET(Sales!E258,1,0)</f>
        <v/>
      </c>
      <c r="H258">
        <f>IF(AND(Sales!D258*Sales!E258&gt;5000, INDEX(Products!C:C, MATCH(Sales!C258, Products!A:A, 0))="Electronics"),"High Value","Normal")</f>
        <v/>
      </c>
    </row>
    <row r="259">
      <c r="A259">
        <f>Sales!A259</f>
        <v/>
      </c>
      <c r="B259">
        <f>VLOOKUP(Sales!C259,Products!A:E,2,FALSE)</f>
        <v/>
      </c>
      <c r="C259">
        <f>INDEX(Products!C:C, MATCH(Sales!C259, Products!A:A, 0))</f>
        <v/>
      </c>
      <c r="D259">
        <f>XLOOKUP(Sales!C259, Products!A:A, Products!D:D)</f>
        <v/>
      </c>
      <c r="E259">
        <f>Sales!D259*Sales!E259</f>
        <v/>
      </c>
      <c r="F259">
        <f>MATCH(Sales!C259, Products!A:A, 0)</f>
        <v/>
      </c>
      <c r="G259">
        <f>OFFSET(Sales!E259,1,0)</f>
        <v/>
      </c>
      <c r="H259">
        <f>IF(AND(Sales!D259*Sales!E259&gt;5000, INDEX(Products!C:C, MATCH(Sales!C259, Products!A:A, 0))="Electronics"),"High Value","Normal")</f>
        <v/>
      </c>
    </row>
    <row r="260">
      <c r="A260">
        <f>Sales!A260</f>
        <v/>
      </c>
      <c r="B260">
        <f>VLOOKUP(Sales!C260,Products!A:E,2,FALSE)</f>
        <v/>
      </c>
      <c r="C260">
        <f>INDEX(Products!C:C, MATCH(Sales!C260, Products!A:A, 0))</f>
        <v/>
      </c>
      <c r="D260">
        <f>XLOOKUP(Sales!C260, Products!A:A, Products!D:D)</f>
        <v/>
      </c>
      <c r="E260">
        <f>Sales!D260*Sales!E260</f>
        <v/>
      </c>
      <c r="F260">
        <f>MATCH(Sales!C260, Products!A:A, 0)</f>
        <v/>
      </c>
      <c r="G260">
        <f>OFFSET(Sales!E260,1,0)</f>
        <v/>
      </c>
      <c r="H260">
        <f>IF(AND(Sales!D260*Sales!E260&gt;5000, INDEX(Products!C:C, MATCH(Sales!C260, Products!A:A, 0))="Electronics"),"High Value","Normal")</f>
        <v/>
      </c>
    </row>
    <row r="261">
      <c r="A261">
        <f>Sales!A261</f>
        <v/>
      </c>
      <c r="B261">
        <f>VLOOKUP(Sales!C261,Products!A:E,2,FALSE)</f>
        <v/>
      </c>
      <c r="C261">
        <f>INDEX(Products!C:C, MATCH(Sales!C261, Products!A:A, 0))</f>
        <v/>
      </c>
      <c r="D261">
        <f>XLOOKUP(Sales!C261, Products!A:A, Products!D:D)</f>
        <v/>
      </c>
      <c r="E261">
        <f>Sales!D261*Sales!E261</f>
        <v/>
      </c>
      <c r="F261">
        <f>MATCH(Sales!C261, Products!A:A, 0)</f>
        <v/>
      </c>
      <c r="G261">
        <f>OFFSET(Sales!E261,1,0)</f>
        <v/>
      </c>
      <c r="H261">
        <f>IF(AND(Sales!D261*Sales!E261&gt;5000, INDEX(Products!C:C, MATCH(Sales!C261, Products!A:A, 0))="Electronics"),"High Value","Normal")</f>
        <v/>
      </c>
    </row>
    <row r="262">
      <c r="A262">
        <f>Sales!A262</f>
        <v/>
      </c>
      <c r="B262">
        <f>VLOOKUP(Sales!C262,Products!A:E,2,FALSE)</f>
        <v/>
      </c>
      <c r="C262">
        <f>INDEX(Products!C:C, MATCH(Sales!C262, Products!A:A, 0))</f>
        <v/>
      </c>
      <c r="D262">
        <f>XLOOKUP(Sales!C262, Products!A:A, Products!D:D)</f>
        <v/>
      </c>
      <c r="E262">
        <f>Sales!D262*Sales!E262</f>
        <v/>
      </c>
      <c r="F262">
        <f>MATCH(Sales!C262, Products!A:A, 0)</f>
        <v/>
      </c>
      <c r="G262">
        <f>OFFSET(Sales!E262,1,0)</f>
        <v/>
      </c>
      <c r="H262">
        <f>IF(AND(Sales!D262*Sales!E262&gt;5000, INDEX(Products!C:C, MATCH(Sales!C262, Products!A:A, 0))="Electronics"),"High Value","Normal")</f>
        <v/>
      </c>
    </row>
    <row r="263">
      <c r="A263">
        <f>Sales!A263</f>
        <v/>
      </c>
      <c r="B263">
        <f>VLOOKUP(Sales!C263,Products!A:E,2,FALSE)</f>
        <v/>
      </c>
      <c r="C263">
        <f>INDEX(Products!C:C, MATCH(Sales!C263, Products!A:A, 0))</f>
        <v/>
      </c>
      <c r="D263">
        <f>XLOOKUP(Sales!C263, Products!A:A, Products!D:D)</f>
        <v/>
      </c>
      <c r="E263">
        <f>Sales!D263*Sales!E263</f>
        <v/>
      </c>
      <c r="F263">
        <f>MATCH(Sales!C263, Products!A:A, 0)</f>
        <v/>
      </c>
      <c r="G263">
        <f>OFFSET(Sales!E263,1,0)</f>
        <v/>
      </c>
      <c r="H263">
        <f>IF(AND(Sales!D263*Sales!E263&gt;5000, INDEX(Products!C:C, MATCH(Sales!C263, Products!A:A, 0))="Electronics"),"High Value","Normal")</f>
        <v/>
      </c>
    </row>
    <row r="264">
      <c r="A264">
        <f>Sales!A264</f>
        <v/>
      </c>
      <c r="B264">
        <f>VLOOKUP(Sales!C264,Products!A:E,2,FALSE)</f>
        <v/>
      </c>
      <c r="C264">
        <f>INDEX(Products!C:C, MATCH(Sales!C264, Products!A:A, 0))</f>
        <v/>
      </c>
      <c r="D264">
        <f>XLOOKUP(Sales!C264, Products!A:A, Products!D:D)</f>
        <v/>
      </c>
      <c r="E264">
        <f>Sales!D264*Sales!E264</f>
        <v/>
      </c>
      <c r="F264">
        <f>MATCH(Sales!C264, Products!A:A, 0)</f>
        <v/>
      </c>
      <c r="G264">
        <f>OFFSET(Sales!E264,1,0)</f>
        <v/>
      </c>
      <c r="H264">
        <f>IF(AND(Sales!D264*Sales!E264&gt;5000, INDEX(Products!C:C, MATCH(Sales!C264, Products!A:A, 0))="Electronics"),"High Value","Normal")</f>
        <v/>
      </c>
    </row>
    <row r="265">
      <c r="A265">
        <f>Sales!A265</f>
        <v/>
      </c>
      <c r="B265">
        <f>VLOOKUP(Sales!C265,Products!A:E,2,FALSE)</f>
        <v/>
      </c>
      <c r="C265">
        <f>INDEX(Products!C:C, MATCH(Sales!C265, Products!A:A, 0))</f>
        <v/>
      </c>
      <c r="D265">
        <f>XLOOKUP(Sales!C265, Products!A:A, Products!D:D)</f>
        <v/>
      </c>
      <c r="E265">
        <f>Sales!D265*Sales!E265</f>
        <v/>
      </c>
      <c r="F265">
        <f>MATCH(Sales!C265, Products!A:A, 0)</f>
        <v/>
      </c>
      <c r="G265">
        <f>OFFSET(Sales!E265,1,0)</f>
        <v/>
      </c>
      <c r="H265">
        <f>IF(AND(Sales!D265*Sales!E265&gt;5000, INDEX(Products!C:C, MATCH(Sales!C265, Products!A:A, 0))="Electronics"),"High Value","Normal")</f>
        <v/>
      </c>
    </row>
    <row r="266">
      <c r="A266">
        <f>Sales!A266</f>
        <v/>
      </c>
      <c r="B266">
        <f>VLOOKUP(Sales!C266,Products!A:E,2,FALSE)</f>
        <v/>
      </c>
      <c r="C266">
        <f>INDEX(Products!C:C, MATCH(Sales!C266, Products!A:A, 0))</f>
        <v/>
      </c>
      <c r="D266">
        <f>XLOOKUP(Sales!C266, Products!A:A, Products!D:D)</f>
        <v/>
      </c>
      <c r="E266">
        <f>Sales!D266*Sales!E266</f>
        <v/>
      </c>
      <c r="F266">
        <f>MATCH(Sales!C266, Products!A:A, 0)</f>
        <v/>
      </c>
      <c r="G266">
        <f>OFFSET(Sales!E266,1,0)</f>
        <v/>
      </c>
      <c r="H266">
        <f>IF(AND(Sales!D266*Sales!E266&gt;5000, INDEX(Products!C:C, MATCH(Sales!C266, Products!A:A, 0))="Electronics"),"High Value","Normal")</f>
        <v/>
      </c>
    </row>
    <row r="267">
      <c r="A267">
        <f>Sales!A267</f>
        <v/>
      </c>
      <c r="B267">
        <f>VLOOKUP(Sales!C267,Products!A:E,2,FALSE)</f>
        <v/>
      </c>
      <c r="C267">
        <f>INDEX(Products!C:C, MATCH(Sales!C267, Products!A:A, 0))</f>
        <v/>
      </c>
      <c r="D267">
        <f>XLOOKUP(Sales!C267, Products!A:A, Products!D:D)</f>
        <v/>
      </c>
      <c r="E267">
        <f>Sales!D267*Sales!E267</f>
        <v/>
      </c>
      <c r="F267">
        <f>MATCH(Sales!C267, Products!A:A, 0)</f>
        <v/>
      </c>
      <c r="G267">
        <f>OFFSET(Sales!E267,1,0)</f>
        <v/>
      </c>
      <c r="H267">
        <f>IF(AND(Sales!D267*Sales!E267&gt;5000, INDEX(Products!C:C, MATCH(Sales!C267, Products!A:A, 0))="Electronics"),"High Value","Normal")</f>
        <v/>
      </c>
    </row>
    <row r="268">
      <c r="A268">
        <f>Sales!A268</f>
        <v/>
      </c>
      <c r="B268">
        <f>VLOOKUP(Sales!C268,Products!A:E,2,FALSE)</f>
        <v/>
      </c>
      <c r="C268">
        <f>INDEX(Products!C:C, MATCH(Sales!C268, Products!A:A, 0))</f>
        <v/>
      </c>
      <c r="D268">
        <f>XLOOKUP(Sales!C268, Products!A:A, Products!D:D)</f>
        <v/>
      </c>
      <c r="E268">
        <f>Sales!D268*Sales!E268</f>
        <v/>
      </c>
      <c r="F268">
        <f>MATCH(Sales!C268, Products!A:A, 0)</f>
        <v/>
      </c>
      <c r="G268">
        <f>OFFSET(Sales!E268,1,0)</f>
        <v/>
      </c>
      <c r="H268">
        <f>IF(AND(Sales!D268*Sales!E268&gt;5000, INDEX(Products!C:C, MATCH(Sales!C268, Products!A:A, 0))="Electronics"),"High Value","Normal")</f>
        <v/>
      </c>
    </row>
    <row r="269">
      <c r="A269">
        <f>Sales!A269</f>
        <v/>
      </c>
      <c r="B269">
        <f>VLOOKUP(Sales!C269,Products!A:E,2,FALSE)</f>
        <v/>
      </c>
      <c r="C269">
        <f>INDEX(Products!C:C, MATCH(Sales!C269, Products!A:A, 0))</f>
        <v/>
      </c>
      <c r="D269">
        <f>XLOOKUP(Sales!C269, Products!A:A, Products!D:D)</f>
        <v/>
      </c>
      <c r="E269">
        <f>Sales!D269*Sales!E269</f>
        <v/>
      </c>
      <c r="F269">
        <f>MATCH(Sales!C269, Products!A:A, 0)</f>
        <v/>
      </c>
      <c r="G269">
        <f>OFFSET(Sales!E269,1,0)</f>
        <v/>
      </c>
      <c r="H269">
        <f>IF(AND(Sales!D269*Sales!E269&gt;5000, INDEX(Products!C:C, MATCH(Sales!C269, Products!A:A, 0))="Electronics"),"High Value","Normal")</f>
        <v/>
      </c>
    </row>
    <row r="270">
      <c r="A270">
        <f>Sales!A270</f>
        <v/>
      </c>
      <c r="B270">
        <f>VLOOKUP(Sales!C270,Products!A:E,2,FALSE)</f>
        <v/>
      </c>
      <c r="C270">
        <f>INDEX(Products!C:C, MATCH(Sales!C270, Products!A:A, 0))</f>
        <v/>
      </c>
      <c r="D270">
        <f>XLOOKUP(Sales!C270, Products!A:A, Products!D:D)</f>
        <v/>
      </c>
      <c r="E270">
        <f>Sales!D270*Sales!E270</f>
        <v/>
      </c>
      <c r="F270">
        <f>MATCH(Sales!C270, Products!A:A, 0)</f>
        <v/>
      </c>
      <c r="G270">
        <f>OFFSET(Sales!E270,1,0)</f>
        <v/>
      </c>
      <c r="H270">
        <f>IF(AND(Sales!D270*Sales!E270&gt;5000, INDEX(Products!C:C, MATCH(Sales!C270, Products!A:A, 0))="Electronics"),"High Value","Normal")</f>
        <v/>
      </c>
    </row>
    <row r="271">
      <c r="A271">
        <f>Sales!A271</f>
        <v/>
      </c>
      <c r="B271">
        <f>VLOOKUP(Sales!C271,Products!A:E,2,FALSE)</f>
        <v/>
      </c>
      <c r="C271">
        <f>INDEX(Products!C:C, MATCH(Sales!C271, Products!A:A, 0))</f>
        <v/>
      </c>
      <c r="D271">
        <f>XLOOKUP(Sales!C271, Products!A:A, Products!D:D)</f>
        <v/>
      </c>
      <c r="E271">
        <f>Sales!D271*Sales!E271</f>
        <v/>
      </c>
      <c r="F271">
        <f>MATCH(Sales!C271, Products!A:A, 0)</f>
        <v/>
      </c>
      <c r="G271">
        <f>OFFSET(Sales!E271,1,0)</f>
        <v/>
      </c>
      <c r="H271">
        <f>IF(AND(Sales!D271*Sales!E271&gt;5000, INDEX(Products!C:C, MATCH(Sales!C271, Products!A:A, 0))="Electronics"),"High Value","Normal")</f>
        <v/>
      </c>
    </row>
    <row r="272">
      <c r="A272">
        <f>Sales!A272</f>
        <v/>
      </c>
      <c r="B272">
        <f>VLOOKUP(Sales!C272,Products!A:E,2,FALSE)</f>
        <v/>
      </c>
      <c r="C272">
        <f>INDEX(Products!C:C, MATCH(Sales!C272, Products!A:A, 0))</f>
        <v/>
      </c>
      <c r="D272">
        <f>XLOOKUP(Sales!C272, Products!A:A, Products!D:D)</f>
        <v/>
      </c>
      <c r="E272">
        <f>Sales!D272*Sales!E272</f>
        <v/>
      </c>
      <c r="F272">
        <f>MATCH(Sales!C272, Products!A:A, 0)</f>
        <v/>
      </c>
      <c r="G272">
        <f>OFFSET(Sales!E272,1,0)</f>
        <v/>
      </c>
      <c r="H272">
        <f>IF(AND(Sales!D272*Sales!E272&gt;5000, INDEX(Products!C:C, MATCH(Sales!C272, Products!A:A, 0))="Electronics"),"High Value","Normal")</f>
        <v/>
      </c>
    </row>
    <row r="273">
      <c r="A273">
        <f>Sales!A273</f>
        <v/>
      </c>
      <c r="B273">
        <f>VLOOKUP(Sales!C273,Products!A:E,2,FALSE)</f>
        <v/>
      </c>
      <c r="C273">
        <f>INDEX(Products!C:C, MATCH(Sales!C273, Products!A:A, 0))</f>
        <v/>
      </c>
      <c r="D273">
        <f>XLOOKUP(Sales!C273, Products!A:A, Products!D:D)</f>
        <v/>
      </c>
      <c r="E273">
        <f>Sales!D273*Sales!E273</f>
        <v/>
      </c>
      <c r="F273">
        <f>MATCH(Sales!C273, Products!A:A, 0)</f>
        <v/>
      </c>
      <c r="G273">
        <f>OFFSET(Sales!E273,1,0)</f>
        <v/>
      </c>
      <c r="H273">
        <f>IF(AND(Sales!D273*Sales!E273&gt;5000, INDEX(Products!C:C, MATCH(Sales!C273, Products!A:A, 0))="Electronics"),"High Value","Normal")</f>
        <v/>
      </c>
    </row>
    <row r="274">
      <c r="A274">
        <f>Sales!A274</f>
        <v/>
      </c>
      <c r="B274">
        <f>VLOOKUP(Sales!C274,Products!A:E,2,FALSE)</f>
        <v/>
      </c>
      <c r="C274">
        <f>INDEX(Products!C:C, MATCH(Sales!C274, Products!A:A, 0))</f>
        <v/>
      </c>
      <c r="D274">
        <f>XLOOKUP(Sales!C274, Products!A:A, Products!D:D)</f>
        <v/>
      </c>
      <c r="E274">
        <f>Sales!D274*Sales!E274</f>
        <v/>
      </c>
      <c r="F274">
        <f>MATCH(Sales!C274, Products!A:A, 0)</f>
        <v/>
      </c>
      <c r="G274">
        <f>OFFSET(Sales!E274,1,0)</f>
        <v/>
      </c>
      <c r="H274">
        <f>IF(AND(Sales!D274*Sales!E274&gt;5000, INDEX(Products!C:C, MATCH(Sales!C274, Products!A:A, 0))="Electronics"),"High Value","Normal")</f>
        <v/>
      </c>
    </row>
    <row r="275">
      <c r="A275">
        <f>Sales!A275</f>
        <v/>
      </c>
      <c r="B275">
        <f>VLOOKUP(Sales!C275,Products!A:E,2,FALSE)</f>
        <v/>
      </c>
      <c r="C275">
        <f>INDEX(Products!C:C, MATCH(Sales!C275, Products!A:A, 0))</f>
        <v/>
      </c>
      <c r="D275">
        <f>XLOOKUP(Sales!C275, Products!A:A, Products!D:D)</f>
        <v/>
      </c>
      <c r="E275">
        <f>Sales!D275*Sales!E275</f>
        <v/>
      </c>
      <c r="F275">
        <f>MATCH(Sales!C275, Products!A:A, 0)</f>
        <v/>
      </c>
      <c r="G275">
        <f>OFFSET(Sales!E275,1,0)</f>
        <v/>
      </c>
      <c r="H275">
        <f>IF(AND(Sales!D275*Sales!E275&gt;5000, INDEX(Products!C:C, MATCH(Sales!C275, Products!A:A, 0))="Electronics"),"High Value","Normal")</f>
        <v/>
      </c>
    </row>
    <row r="276">
      <c r="A276">
        <f>Sales!A276</f>
        <v/>
      </c>
      <c r="B276">
        <f>VLOOKUP(Sales!C276,Products!A:E,2,FALSE)</f>
        <v/>
      </c>
      <c r="C276">
        <f>INDEX(Products!C:C, MATCH(Sales!C276, Products!A:A, 0))</f>
        <v/>
      </c>
      <c r="D276">
        <f>XLOOKUP(Sales!C276, Products!A:A, Products!D:D)</f>
        <v/>
      </c>
      <c r="E276">
        <f>Sales!D276*Sales!E276</f>
        <v/>
      </c>
      <c r="F276">
        <f>MATCH(Sales!C276, Products!A:A, 0)</f>
        <v/>
      </c>
      <c r="G276">
        <f>OFFSET(Sales!E276,1,0)</f>
        <v/>
      </c>
      <c r="H276">
        <f>IF(AND(Sales!D276*Sales!E276&gt;5000, INDEX(Products!C:C, MATCH(Sales!C276, Products!A:A, 0))="Electronics"),"High Value","Normal")</f>
        <v/>
      </c>
    </row>
    <row r="277">
      <c r="A277">
        <f>Sales!A277</f>
        <v/>
      </c>
      <c r="B277">
        <f>VLOOKUP(Sales!C277,Products!A:E,2,FALSE)</f>
        <v/>
      </c>
      <c r="C277">
        <f>INDEX(Products!C:C, MATCH(Sales!C277, Products!A:A, 0))</f>
        <v/>
      </c>
      <c r="D277">
        <f>XLOOKUP(Sales!C277, Products!A:A, Products!D:D)</f>
        <v/>
      </c>
      <c r="E277">
        <f>Sales!D277*Sales!E277</f>
        <v/>
      </c>
      <c r="F277">
        <f>MATCH(Sales!C277, Products!A:A, 0)</f>
        <v/>
      </c>
      <c r="G277">
        <f>OFFSET(Sales!E277,1,0)</f>
        <v/>
      </c>
      <c r="H277">
        <f>IF(AND(Sales!D277*Sales!E277&gt;5000, INDEX(Products!C:C, MATCH(Sales!C277, Products!A:A, 0))="Electronics"),"High Value","Normal")</f>
        <v/>
      </c>
    </row>
    <row r="278">
      <c r="A278">
        <f>Sales!A278</f>
        <v/>
      </c>
      <c r="B278">
        <f>VLOOKUP(Sales!C278,Products!A:E,2,FALSE)</f>
        <v/>
      </c>
      <c r="C278">
        <f>INDEX(Products!C:C, MATCH(Sales!C278, Products!A:A, 0))</f>
        <v/>
      </c>
      <c r="D278">
        <f>XLOOKUP(Sales!C278, Products!A:A, Products!D:D)</f>
        <v/>
      </c>
      <c r="E278">
        <f>Sales!D278*Sales!E278</f>
        <v/>
      </c>
      <c r="F278">
        <f>MATCH(Sales!C278, Products!A:A, 0)</f>
        <v/>
      </c>
      <c r="G278">
        <f>OFFSET(Sales!E278,1,0)</f>
        <v/>
      </c>
      <c r="H278">
        <f>IF(AND(Sales!D278*Sales!E278&gt;5000, INDEX(Products!C:C, MATCH(Sales!C278, Products!A:A, 0))="Electronics"),"High Value","Normal")</f>
        <v/>
      </c>
    </row>
    <row r="279">
      <c r="A279">
        <f>Sales!A279</f>
        <v/>
      </c>
      <c r="B279">
        <f>VLOOKUP(Sales!C279,Products!A:E,2,FALSE)</f>
        <v/>
      </c>
      <c r="C279">
        <f>INDEX(Products!C:C, MATCH(Sales!C279, Products!A:A, 0))</f>
        <v/>
      </c>
      <c r="D279">
        <f>XLOOKUP(Sales!C279, Products!A:A, Products!D:D)</f>
        <v/>
      </c>
      <c r="E279">
        <f>Sales!D279*Sales!E279</f>
        <v/>
      </c>
      <c r="F279">
        <f>MATCH(Sales!C279, Products!A:A, 0)</f>
        <v/>
      </c>
      <c r="G279">
        <f>OFFSET(Sales!E279,1,0)</f>
        <v/>
      </c>
      <c r="H279">
        <f>IF(AND(Sales!D279*Sales!E279&gt;5000, INDEX(Products!C:C, MATCH(Sales!C279, Products!A:A, 0))="Electronics"),"High Value","Normal")</f>
        <v/>
      </c>
    </row>
    <row r="280">
      <c r="A280">
        <f>Sales!A280</f>
        <v/>
      </c>
      <c r="B280">
        <f>VLOOKUP(Sales!C280,Products!A:E,2,FALSE)</f>
        <v/>
      </c>
      <c r="C280">
        <f>INDEX(Products!C:C, MATCH(Sales!C280, Products!A:A, 0))</f>
        <v/>
      </c>
      <c r="D280">
        <f>XLOOKUP(Sales!C280, Products!A:A, Products!D:D)</f>
        <v/>
      </c>
      <c r="E280">
        <f>Sales!D280*Sales!E280</f>
        <v/>
      </c>
      <c r="F280">
        <f>MATCH(Sales!C280, Products!A:A, 0)</f>
        <v/>
      </c>
      <c r="G280">
        <f>OFFSET(Sales!E280,1,0)</f>
        <v/>
      </c>
      <c r="H280">
        <f>IF(AND(Sales!D280*Sales!E280&gt;5000, INDEX(Products!C:C, MATCH(Sales!C280, Products!A:A, 0))="Electronics"),"High Value","Normal")</f>
        <v/>
      </c>
    </row>
    <row r="281">
      <c r="A281">
        <f>Sales!A281</f>
        <v/>
      </c>
      <c r="B281">
        <f>VLOOKUP(Sales!C281,Products!A:E,2,FALSE)</f>
        <v/>
      </c>
      <c r="C281">
        <f>INDEX(Products!C:C, MATCH(Sales!C281, Products!A:A, 0))</f>
        <v/>
      </c>
      <c r="D281">
        <f>XLOOKUP(Sales!C281, Products!A:A, Products!D:D)</f>
        <v/>
      </c>
      <c r="E281">
        <f>Sales!D281*Sales!E281</f>
        <v/>
      </c>
      <c r="F281">
        <f>MATCH(Sales!C281, Products!A:A, 0)</f>
        <v/>
      </c>
      <c r="G281">
        <f>OFFSET(Sales!E281,1,0)</f>
        <v/>
      </c>
      <c r="H281">
        <f>IF(AND(Sales!D281*Sales!E281&gt;5000, INDEX(Products!C:C, MATCH(Sales!C281, Products!A:A, 0))="Electronics"),"High Value","Normal")</f>
        <v/>
      </c>
    </row>
    <row r="282">
      <c r="A282">
        <f>Sales!A282</f>
        <v/>
      </c>
      <c r="B282">
        <f>VLOOKUP(Sales!C282,Products!A:E,2,FALSE)</f>
        <v/>
      </c>
      <c r="C282">
        <f>INDEX(Products!C:C, MATCH(Sales!C282, Products!A:A, 0))</f>
        <v/>
      </c>
      <c r="D282">
        <f>XLOOKUP(Sales!C282, Products!A:A, Products!D:D)</f>
        <v/>
      </c>
      <c r="E282">
        <f>Sales!D282*Sales!E282</f>
        <v/>
      </c>
      <c r="F282">
        <f>MATCH(Sales!C282, Products!A:A, 0)</f>
        <v/>
      </c>
      <c r="G282">
        <f>OFFSET(Sales!E282,1,0)</f>
        <v/>
      </c>
      <c r="H282">
        <f>IF(AND(Sales!D282*Sales!E282&gt;5000, INDEX(Products!C:C, MATCH(Sales!C282, Products!A:A, 0))="Electronics"),"High Value","Normal")</f>
        <v/>
      </c>
    </row>
    <row r="283">
      <c r="A283">
        <f>Sales!A283</f>
        <v/>
      </c>
      <c r="B283">
        <f>VLOOKUP(Sales!C283,Products!A:E,2,FALSE)</f>
        <v/>
      </c>
      <c r="C283">
        <f>INDEX(Products!C:C, MATCH(Sales!C283, Products!A:A, 0))</f>
        <v/>
      </c>
      <c r="D283">
        <f>XLOOKUP(Sales!C283, Products!A:A, Products!D:D)</f>
        <v/>
      </c>
      <c r="E283">
        <f>Sales!D283*Sales!E283</f>
        <v/>
      </c>
      <c r="F283">
        <f>MATCH(Sales!C283, Products!A:A, 0)</f>
        <v/>
      </c>
      <c r="G283">
        <f>OFFSET(Sales!E283,1,0)</f>
        <v/>
      </c>
      <c r="H283">
        <f>IF(AND(Sales!D283*Sales!E283&gt;5000, INDEX(Products!C:C, MATCH(Sales!C283, Products!A:A, 0))="Electronics"),"High Value","Normal")</f>
        <v/>
      </c>
    </row>
    <row r="284">
      <c r="A284">
        <f>Sales!A284</f>
        <v/>
      </c>
      <c r="B284">
        <f>VLOOKUP(Sales!C284,Products!A:E,2,FALSE)</f>
        <v/>
      </c>
      <c r="C284">
        <f>INDEX(Products!C:C, MATCH(Sales!C284, Products!A:A, 0))</f>
        <v/>
      </c>
      <c r="D284">
        <f>XLOOKUP(Sales!C284, Products!A:A, Products!D:D)</f>
        <v/>
      </c>
      <c r="E284">
        <f>Sales!D284*Sales!E284</f>
        <v/>
      </c>
      <c r="F284">
        <f>MATCH(Sales!C284, Products!A:A, 0)</f>
        <v/>
      </c>
      <c r="G284">
        <f>OFFSET(Sales!E284,1,0)</f>
        <v/>
      </c>
      <c r="H284">
        <f>IF(AND(Sales!D284*Sales!E284&gt;5000, INDEX(Products!C:C, MATCH(Sales!C284, Products!A:A, 0))="Electronics"),"High Value","Normal")</f>
        <v/>
      </c>
    </row>
    <row r="285">
      <c r="A285">
        <f>Sales!A285</f>
        <v/>
      </c>
      <c r="B285">
        <f>VLOOKUP(Sales!C285,Products!A:E,2,FALSE)</f>
        <v/>
      </c>
      <c r="C285">
        <f>INDEX(Products!C:C, MATCH(Sales!C285, Products!A:A, 0))</f>
        <v/>
      </c>
      <c r="D285">
        <f>XLOOKUP(Sales!C285, Products!A:A, Products!D:D)</f>
        <v/>
      </c>
      <c r="E285">
        <f>Sales!D285*Sales!E285</f>
        <v/>
      </c>
      <c r="F285">
        <f>MATCH(Sales!C285, Products!A:A, 0)</f>
        <v/>
      </c>
      <c r="G285">
        <f>OFFSET(Sales!E285,1,0)</f>
        <v/>
      </c>
      <c r="H285">
        <f>IF(AND(Sales!D285*Sales!E285&gt;5000, INDEX(Products!C:C, MATCH(Sales!C285, Products!A:A, 0))="Electronics"),"High Value","Normal")</f>
        <v/>
      </c>
    </row>
    <row r="286">
      <c r="A286">
        <f>Sales!A286</f>
        <v/>
      </c>
      <c r="B286">
        <f>VLOOKUP(Sales!C286,Products!A:E,2,FALSE)</f>
        <v/>
      </c>
      <c r="C286">
        <f>INDEX(Products!C:C, MATCH(Sales!C286, Products!A:A, 0))</f>
        <v/>
      </c>
      <c r="D286">
        <f>XLOOKUP(Sales!C286, Products!A:A, Products!D:D)</f>
        <v/>
      </c>
      <c r="E286">
        <f>Sales!D286*Sales!E286</f>
        <v/>
      </c>
      <c r="F286">
        <f>MATCH(Sales!C286, Products!A:A, 0)</f>
        <v/>
      </c>
      <c r="G286">
        <f>OFFSET(Sales!E286,1,0)</f>
        <v/>
      </c>
      <c r="H286">
        <f>IF(AND(Sales!D286*Sales!E286&gt;5000, INDEX(Products!C:C, MATCH(Sales!C286, Products!A:A, 0))="Electronics"),"High Value","Normal")</f>
        <v/>
      </c>
    </row>
    <row r="287">
      <c r="A287">
        <f>Sales!A287</f>
        <v/>
      </c>
      <c r="B287">
        <f>VLOOKUP(Sales!C287,Products!A:E,2,FALSE)</f>
        <v/>
      </c>
      <c r="C287">
        <f>INDEX(Products!C:C, MATCH(Sales!C287, Products!A:A, 0))</f>
        <v/>
      </c>
      <c r="D287">
        <f>XLOOKUP(Sales!C287, Products!A:A, Products!D:D)</f>
        <v/>
      </c>
      <c r="E287">
        <f>Sales!D287*Sales!E287</f>
        <v/>
      </c>
      <c r="F287">
        <f>MATCH(Sales!C287, Products!A:A, 0)</f>
        <v/>
      </c>
      <c r="G287">
        <f>OFFSET(Sales!E287,1,0)</f>
        <v/>
      </c>
      <c r="H287">
        <f>IF(AND(Sales!D287*Sales!E287&gt;5000, INDEX(Products!C:C, MATCH(Sales!C287, Products!A:A, 0))="Electronics"),"High Value","Normal")</f>
        <v/>
      </c>
    </row>
    <row r="288">
      <c r="A288">
        <f>Sales!A288</f>
        <v/>
      </c>
      <c r="B288">
        <f>VLOOKUP(Sales!C288,Products!A:E,2,FALSE)</f>
        <v/>
      </c>
      <c r="C288">
        <f>INDEX(Products!C:C, MATCH(Sales!C288, Products!A:A, 0))</f>
        <v/>
      </c>
      <c r="D288">
        <f>XLOOKUP(Sales!C288, Products!A:A, Products!D:D)</f>
        <v/>
      </c>
      <c r="E288">
        <f>Sales!D288*Sales!E288</f>
        <v/>
      </c>
      <c r="F288">
        <f>MATCH(Sales!C288, Products!A:A, 0)</f>
        <v/>
      </c>
      <c r="G288">
        <f>OFFSET(Sales!E288,1,0)</f>
        <v/>
      </c>
      <c r="H288">
        <f>IF(AND(Sales!D288*Sales!E288&gt;5000, INDEX(Products!C:C, MATCH(Sales!C288, Products!A:A, 0))="Electronics"),"High Value","Normal")</f>
        <v/>
      </c>
    </row>
    <row r="289">
      <c r="A289">
        <f>Sales!A289</f>
        <v/>
      </c>
      <c r="B289">
        <f>VLOOKUP(Sales!C289,Products!A:E,2,FALSE)</f>
        <v/>
      </c>
      <c r="C289">
        <f>INDEX(Products!C:C, MATCH(Sales!C289, Products!A:A, 0))</f>
        <v/>
      </c>
      <c r="D289">
        <f>XLOOKUP(Sales!C289, Products!A:A, Products!D:D)</f>
        <v/>
      </c>
      <c r="E289">
        <f>Sales!D289*Sales!E289</f>
        <v/>
      </c>
      <c r="F289">
        <f>MATCH(Sales!C289, Products!A:A, 0)</f>
        <v/>
      </c>
      <c r="G289">
        <f>OFFSET(Sales!E289,1,0)</f>
        <v/>
      </c>
      <c r="H289">
        <f>IF(AND(Sales!D289*Sales!E289&gt;5000, INDEX(Products!C:C, MATCH(Sales!C289, Products!A:A, 0))="Electronics"),"High Value","Normal")</f>
        <v/>
      </c>
    </row>
    <row r="290">
      <c r="A290">
        <f>Sales!A290</f>
        <v/>
      </c>
      <c r="B290">
        <f>VLOOKUP(Sales!C290,Products!A:E,2,FALSE)</f>
        <v/>
      </c>
      <c r="C290">
        <f>INDEX(Products!C:C, MATCH(Sales!C290, Products!A:A, 0))</f>
        <v/>
      </c>
      <c r="D290">
        <f>XLOOKUP(Sales!C290, Products!A:A, Products!D:D)</f>
        <v/>
      </c>
      <c r="E290">
        <f>Sales!D290*Sales!E290</f>
        <v/>
      </c>
      <c r="F290">
        <f>MATCH(Sales!C290, Products!A:A, 0)</f>
        <v/>
      </c>
      <c r="G290">
        <f>OFFSET(Sales!E290,1,0)</f>
        <v/>
      </c>
      <c r="H290">
        <f>IF(AND(Sales!D290*Sales!E290&gt;5000, INDEX(Products!C:C, MATCH(Sales!C290, Products!A:A, 0))="Electronics"),"High Value","Normal")</f>
        <v/>
      </c>
    </row>
    <row r="291">
      <c r="A291">
        <f>Sales!A291</f>
        <v/>
      </c>
      <c r="B291">
        <f>VLOOKUP(Sales!C291,Products!A:E,2,FALSE)</f>
        <v/>
      </c>
      <c r="C291">
        <f>INDEX(Products!C:C, MATCH(Sales!C291, Products!A:A, 0))</f>
        <v/>
      </c>
      <c r="D291">
        <f>XLOOKUP(Sales!C291, Products!A:A, Products!D:D)</f>
        <v/>
      </c>
      <c r="E291">
        <f>Sales!D291*Sales!E291</f>
        <v/>
      </c>
      <c r="F291">
        <f>MATCH(Sales!C291, Products!A:A, 0)</f>
        <v/>
      </c>
      <c r="G291">
        <f>OFFSET(Sales!E291,1,0)</f>
        <v/>
      </c>
      <c r="H291">
        <f>IF(AND(Sales!D291*Sales!E291&gt;5000, INDEX(Products!C:C, MATCH(Sales!C291, Products!A:A, 0))="Electronics"),"High Value","Normal")</f>
        <v/>
      </c>
    </row>
    <row r="292">
      <c r="A292">
        <f>Sales!A292</f>
        <v/>
      </c>
      <c r="B292">
        <f>VLOOKUP(Sales!C292,Products!A:E,2,FALSE)</f>
        <v/>
      </c>
      <c r="C292">
        <f>INDEX(Products!C:C, MATCH(Sales!C292, Products!A:A, 0))</f>
        <v/>
      </c>
      <c r="D292">
        <f>XLOOKUP(Sales!C292, Products!A:A, Products!D:D)</f>
        <v/>
      </c>
      <c r="E292">
        <f>Sales!D292*Sales!E292</f>
        <v/>
      </c>
      <c r="F292">
        <f>MATCH(Sales!C292, Products!A:A, 0)</f>
        <v/>
      </c>
      <c r="G292">
        <f>OFFSET(Sales!E292,1,0)</f>
        <v/>
      </c>
      <c r="H292">
        <f>IF(AND(Sales!D292*Sales!E292&gt;5000, INDEX(Products!C:C, MATCH(Sales!C292, Products!A:A, 0))="Electronics"),"High Value","Normal")</f>
        <v/>
      </c>
    </row>
    <row r="293">
      <c r="A293">
        <f>Sales!A293</f>
        <v/>
      </c>
      <c r="B293">
        <f>VLOOKUP(Sales!C293,Products!A:E,2,FALSE)</f>
        <v/>
      </c>
      <c r="C293">
        <f>INDEX(Products!C:C, MATCH(Sales!C293, Products!A:A, 0))</f>
        <v/>
      </c>
      <c r="D293">
        <f>XLOOKUP(Sales!C293, Products!A:A, Products!D:D)</f>
        <v/>
      </c>
      <c r="E293">
        <f>Sales!D293*Sales!E293</f>
        <v/>
      </c>
      <c r="F293">
        <f>MATCH(Sales!C293, Products!A:A, 0)</f>
        <v/>
      </c>
      <c r="G293">
        <f>OFFSET(Sales!E293,1,0)</f>
        <v/>
      </c>
      <c r="H293">
        <f>IF(AND(Sales!D293*Sales!E293&gt;5000, INDEX(Products!C:C, MATCH(Sales!C293, Products!A:A, 0))="Electronics"),"High Value","Normal")</f>
        <v/>
      </c>
    </row>
    <row r="294">
      <c r="A294">
        <f>Sales!A294</f>
        <v/>
      </c>
      <c r="B294">
        <f>VLOOKUP(Sales!C294,Products!A:E,2,FALSE)</f>
        <v/>
      </c>
      <c r="C294">
        <f>INDEX(Products!C:C, MATCH(Sales!C294, Products!A:A, 0))</f>
        <v/>
      </c>
      <c r="D294">
        <f>XLOOKUP(Sales!C294, Products!A:A, Products!D:D)</f>
        <v/>
      </c>
      <c r="E294">
        <f>Sales!D294*Sales!E294</f>
        <v/>
      </c>
      <c r="F294">
        <f>MATCH(Sales!C294, Products!A:A, 0)</f>
        <v/>
      </c>
      <c r="G294">
        <f>OFFSET(Sales!E294,1,0)</f>
        <v/>
      </c>
      <c r="H294">
        <f>IF(AND(Sales!D294*Sales!E294&gt;5000, INDEX(Products!C:C, MATCH(Sales!C294, Products!A:A, 0))="Electronics"),"High Value","Normal")</f>
        <v/>
      </c>
    </row>
    <row r="295">
      <c r="A295">
        <f>Sales!A295</f>
        <v/>
      </c>
      <c r="B295">
        <f>VLOOKUP(Sales!C295,Products!A:E,2,FALSE)</f>
        <v/>
      </c>
      <c r="C295">
        <f>INDEX(Products!C:C, MATCH(Sales!C295, Products!A:A, 0))</f>
        <v/>
      </c>
      <c r="D295">
        <f>XLOOKUP(Sales!C295, Products!A:A, Products!D:D)</f>
        <v/>
      </c>
      <c r="E295">
        <f>Sales!D295*Sales!E295</f>
        <v/>
      </c>
      <c r="F295">
        <f>MATCH(Sales!C295, Products!A:A, 0)</f>
        <v/>
      </c>
      <c r="G295">
        <f>OFFSET(Sales!E295,1,0)</f>
        <v/>
      </c>
      <c r="H295">
        <f>IF(AND(Sales!D295*Sales!E295&gt;5000, INDEX(Products!C:C, MATCH(Sales!C295, Products!A:A, 0))="Electronics"),"High Value","Normal")</f>
        <v/>
      </c>
    </row>
    <row r="296">
      <c r="A296">
        <f>Sales!A296</f>
        <v/>
      </c>
      <c r="B296">
        <f>VLOOKUP(Sales!C296,Products!A:E,2,FALSE)</f>
        <v/>
      </c>
      <c r="C296">
        <f>INDEX(Products!C:C, MATCH(Sales!C296, Products!A:A, 0))</f>
        <v/>
      </c>
      <c r="D296">
        <f>XLOOKUP(Sales!C296, Products!A:A, Products!D:D)</f>
        <v/>
      </c>
      <c r="E296">
        <f>Sales!D296*Sales!E296</f>
        <v/>
      </c>
      <c r="F296">
        <f>MATCH(Sales!C296, Products!A:A, 0)</f>
        <v/>
      </c>
      <c r="G296">
        <f>OFFSET(Sales!E296,1,0)</f>
        <v/>
      </c>
      <c r="H296">
        <f>IF(AND(Sales!D296*Sales!E296&gt;5000, INDEX(Products!C:C, MATCH(Sales!C296, Products!A:A, 0))="Electronics"),"High Value","Normal")</f>
        <v/>
      </c>
    </row>
    <row r="297">
      <c r="A297">
        <f>Sales!A297</f>
        <v/>
      </c>
      <c r="B297">
        <f>VLOOKUP(Sales!C297,Products!A:E,2,FALSE)</f>
        <v/>
      </c>
      <c r="C297">
        <f>INDEX(Products!C:C, MATCH(Sales!C297, Products!A:A, 0))</f>
        <v/>
      </c>
      <c r="D297">
        <f>XLOOKUP(Sales!C297, Products!A:A, Products!D:D)</f>
        <v/>
      </c>
      <c r="E297">
        <f>Sales!D297*Sales!E297</f>
        <v/>
      </c>
      <c r="F297">
        <f>MATCH(Sales!C297, Products!A:A, 0)</f>
        <v/>
      </c>
      <c r="G297">
        <f>OFFSET(Sales!E297,1,0)</f>
        <v/>
      </c>
      <c r="H297">
        <f>IF(AND(Sales!D297*Sales!E297&gt;5000, INDEX(Products!C:C, MATCH(Sales!C297, Products!A:A, 0))="Electronics"),"High Value","Normal")</f>
        <v/>
      </c>
    </row>
    <row r="298">
      <c r="A298">
        <f>Sales!A298</f>
        <v/>
      </c>
      <c r="B298">
        <f>VLOOKUP(Sales!C298,Products!A:E,2,FALSE)</f>
        <v/>
      </c>
      <c r="C298">
        <f>INDEX(Products!C:C, MATCH(Sales!C298, Products!A:A, 0))</f>
        <v/>
      </c>
      <c r="D298">
        <f>XLOOKUP(Sales!C298, Products!A:A, Products!D:D)</f>
        <v/>
      </c>
      <c r="E298">
        <f>Sales!D298*Sales!E298</f>
        <v/>
      </c>
      <c r="F298">
        <f>MATCH(Sales!C298, Products!A:A, 0)</f>
        <v/>
      </c>
      <c r="G298">
        <f>OFFSET(Sales!E298,1,0)</f>
        <v/>
      </c>
      <c r="H298">
        <f>IF(AND(Sales!D298*Sales!E298&gt;5000, INDEX(Products!C:C, MATCH(Sales!C298, Products!A:A, 0))="Electronics"),"High Value","Normal")</f>
        <v/>
      </c>
    </row>
    <row r="299">
      <c r="A299">
        <f>Sales!A299</f>
        <v/>
      </c>
      <c r="B299">
        <f>VLOOKUP(Sales!C299,Products!A:E,2,FALSE)</f>
        <v/>
      </c>
      <c r="C299">
        <f>INDEX(Products!C:C, MATCH(Sales!C299, Products!A:A, 0))</f>
        <v/>
      </c>
      <c r="D299">
        <f>XLOOKUP(Sales!C299, Products!A:A, Products!D:D)</f>
        <v/>
      </c>
      <c r="E299">
        <f>Sales!D299*Sales!E299</f>
        <v/>
      </c>
      <c r="F299">
        <f>MATCH(Sales!C299, Products!A:A, 0)</f>
        <v/>
      </c>
      <c r="G299">
        <f>OFFSET(Sales!E299,1,0)</f>
        <v/>
      </c>
      <c r="H299">
        <f>IF(AND(Sales!D299*Sales!E299&gt;5000, INDEX(Products!C:C, MATCH(Sales!C299, Products!A:A, 0))="Electronics"),"High Value","Normal")</f>
        <v/>
      </c>
    </row>
    <row r="300">
      <c r="A300">
        <f>Sales!A300</f>
        <v/>
      </c>
      <c r="B300">
        <f>VLOOKUP(Sales!C300,Products!A:E,2,FALSE)</f>
        <v/>
      </c>
      <c r="C300">
        <f>INDEX(Products!C:C, MATCH(Sales!C300, Products!A:A, 0))</f>
        <v/>
      </c>
      <c r="D300">
        <f>XLOOKUP(Sales!C300, Products!A:A, Products!D:D)</f>
        <v/>
      </c>
      <c r="E300">
        <f>Sales!D300*Sales!E300</f>
        <v/>
      </c>
      <c r="F300">
        <f>MATCH(Sales!C300, Products!A:A, 0)</f>
        <v/>
      </c>
      <c r="G300">
        <f>OFFSET(Sales!E300,1,0)</f>
        <v/>
      </c>
      <c r="H300">
        <f>IF(AND(Sales!D300*Sales!E300&gt;5000, INDEX(Products!C:C, MATCH(Sales!C300, Products!A:A, 0))="Electronics"),"High Value","Normal")</f>
        <v/>
      </c>
    </row>
    <row r="301">
      <c r="A301">
        <f>Sales!A301</f>
        <v/>
      </c>
      <c r="B301">
        <f>VLOOKUP(Sales!C301,Products!A:E,2,FALSE)</f>
        <v/>
      </c>
      <c r="C301">
        <f>INDEX(Products!C:C, MATCH(Sales!C301, Products!A:A, 0))</f>
        <v/>
      </c>
      <c r="D301">
        <f>XLOOKUP(Sales!C301, Products!A:A, Products!D:D)</f>
        <v/>
      </c>
      <c r="E301">
        <f>Sales!D301*Sales!E301</f>
        <v/>
      </c>
      <c r="F301">
        <f>MATCH(Sales!C301, Products!A:A, 0)</f>
        <v/>
      </c>
      <c r="G301">
        <f>OFFSET(Sales!E301,1,0)</f>
        <v/>
      </c>
      <c r="H301">
        <f>IF(AND(Sales!D301*Sales!E301&gt;5000, INDEX(Products!C:C, MATCH(Sales!C301, Products!A:A, 0))="Electronics"),"High Value","Normal")</f>
        <v/>
      </c>
    </row>
    <row r="302">
      <c r="A302">
        <f>Sales!A302</f>
        <v/>
      </c>
      <c r="B302">
        <f>VLOOKUP(Sales!C302,Products!A:E,2,FALSE)</f>
        <v/>
      </c>
      <c r="C302">
        <f>INDEX(Products!C:C, MATCH(Sales!C302, Products!A:A, 0))</f>
        <v/>
      </c>
      <c r="D302">
        <f>XLOOKUP(Sales!C302, Products!A:A, Products!D:D)</f>
        <v/>
      </c>
      <c r="E302">
        <f>Sales!D302*Sales!E302</f>
        <v/>
      </c>
      <c r="F302">
        <f>MATCH(Sales!C302, Products!A:A, 0)</f>
        <v/>
      </c>
      <c r="G302">
        <f>OFFSET(Sales!E302,1,0)</f>
        <v/>
      </c>
      <c r="H302">
        <f>IF(AND(Sales!D302*Sales!E302&gt;5000, INDEX(Products!C:C, MATCH(Sales!C302, Products!A:A, 0))="Electronics"),"High Value","Normal")</f>
        <v/>
      </c>
    </row>
    <row r="303">
      <c r="A303">
        <f>Sales!A303</f>
        <v/>
      </c>
      <c r="B303">
        <f>VLOOKUP(Sales!C303,Products!A:E,2,FALSE)</f>
        <v/>
      </c>
      <c r="C303">
        <f>INDEX(Products!C:C, MATCH(Sales!C303, Products!A:A, 0))</f>
        <v/>
      </c>
      <c r="D303">
        <f>XLOOKUP(Sales!C303, Products!A:A, Products!D:D)</f>
        <v/>
      </c>
      <c r="E303">
        <f>Sales!D303*Sales!E303</f>
        <v/>
      </c>
      <c r="F303">
        <f>MATCH(Sales!C303, Products!A:A, 0)</f>
        <v/>
      </c>
      <c r="G303">
        <f>OFFSET(Sales!E303,1,0)</f>
        <v/>
      </c>
      <c r="H303">
        <f>IF(AND(Sales!D303*Sales!E303&gt;5000, INDEX(Products!C:C, MATCH(Sales!C303, Products!A:A, 0))="Electronics"),"High Value","Normal")</f>
        <v/>
      </c>
    </row>
    <row r="304">
      <c r="A304">
        <f>Sales!A304</f>
        <v/>
      </c>
      <c r="B304">
        <f>VLOOKUP(Sales!C304,Products!A:E,2,FALSE)</f>
        <v/>
      </c>
      <c r="C304">
        <f>INDEX(Products!C:C, MATCH(Sales!C304, Products!A:A, 0))</f>
        <v/>
      </c>
      <c r="D304">
        <f>XLOOKUP(Sales!C304, Products!A:A, Products!D:D)</f>
        <v/>
      </c>
      <c r="E304">
        <f>Sales!D304*Sales!E304</f>
        <v/>
      </c>
      <c r="F304">
        <f>MATCH(Sales!C304, Products!A:A, 0)</f>
        <v/>
      </c>
      <c r="G304">
        <f>OFFSET(Sales!E304,1,0)</f>
        <v/>
      </c>
      <c r="H304">
        <f>IF(AND(Sales!D304*Sales!E304&gt;5000, INDEX(Products!C:C, MATCH(Sales!C304, Products!A:A, 0))="Electronics"),"High Value","Normal")</f>
        <v/>
      </c>
    </row>
    <row r="305">
      <c r="A305">
        <f>Sales!A305</f>
        <v/>
      </c>
      <c r="B305">
        <f>VLOOKUP(Sales!C305,Products!A:E,2,FALSE)</f>
        <v/>
      </c>
      <c r="C305">
        <f>INDEX(Products!C:C, MATCH(Sales!C305, Products!A:A, 0))</f>
        <v/>
      </c>
      <c r="D305">
        <f>XLOOKUP(Sales!C305, Products!A:A, Products!D:D)</f>
        <v/>
      </c>
      <c r="E305">
        <f>Sales!D305*Sales!E305</f>
        <v/>
      </c>
      <c r="F305">
        <f>MATCH(Sales!C305, Products!A:A, 0)</f>
        <v/>
      </c>
      <c r="G305">
        <f>OFFSET(Sales!E305,1,0)</f>
        <v/>
      </c>
      <c r="H305">
        <f>IF(AND(Sales!D305*Sales!E305&gt;5000, INDEX(Products!C:C, MATCH(Sales!C305, Products!A:A, 0))="Electronics"),"High Value","Normal")</f>
        <v/>
      </c>
    </row>
    <row r="306">
      <c r="A306">
        <f>Sales!A306</f>
        <v/>
      </c>
      <c r="B306">
        <f>VLOOKUP(Sales!C306,Products!A:E,2,FALSE)</f>
        <v/>
      </c>
      <c r="C306">
        <f>INDEX(Products!C:C, MATCH(Sales!C306, Products!A:A, 0))</f>
        <v/>
      </c>
      <c r="D306">
        <f>XLOOKUP(Sales!C306, Products!A:A, Products!D:D)</f>
        <v/>
      </c>
      <c r="E306">
        <f>Sales!D306*Sales!E306</f>
        <v/>
      </c>
      <c r="F306">
        <f>MATCH(Sales!C306, Products!A:A, 0)</f>
        <v/>
      </c>
      <c r="G306">
        <f>OFFSET(Sales!E306,1,0)</f>
        <v/>
      </c>
      <c r="H306">
        <f>IF(AND(Sales!D306*Sales!E306&gt;5000, INDEX(Products!C:C, MATCH(Sales!C306, Products!A:A, 0))="Electronics"),"High Value","Normal")</f>
        <v/>
      </c>
    </row>
    <row r="307">
      <c r="A307">
        <f>Sales!A307</f>
        <v/>
      </c>
      <c r="B307">
        <f>VLOOKUP(Sales!C307,Products!A:E,2,FALSE)</f>
        <v/>
      </c>
      <c r="C307">
        <f>INDEX(Products!C:C, MATCH(Sales!C307, Products!A:A, 0))</f>
        <v/>
      </c>
      <c r="D307">
        <f>XLOOKUP(Sales!C307, Products!A:A, Products!D:D)</f>
        <v/>
      </c>
      <c r="E307">
        <f>Sales!D307*Sales!E307</f>
        <v/>
      </c>
      <c r="F307">
        <f>MATCH(Sales!C307, Products!A:A, 0)</f>
        <v/>
      </c>
      <c r="G307">
        <f>OFFSET(Sales!E307,1,0)</f>
        <v/>
      </c>
      <c r="H307">
        <f>IF(AND(Sales!D307*Sales!E307&gt;5000, INDEX(Products!C:C, MATCH(Sales!C307, Products!A:A, 0))="Electronics"),"High Value","Normal")</f>
        <v/>
      </c>
    </row>
    <row r="308">
      <c r="A308">
        <f>Sales!A308</f>
        <v/>
      </c>
      <c r="B308">
        <f>VLOOKUP(Sales!C308,Products!A:E,2,FALSE)</f>
        <v/>
      </c>
      <c r="C308">
        <f>INDEX(Products!C:C, MATCH(Sales!C308, Products!A:A, 0))</f>
        <v/>
      </c>
      <c r="D308">
        <f>XLOOKUP(Sales!C308, Products!A:A, Products!D:D)</f>
        <v/>
      </c>
      <c r="E308">
        <f>Sales!D308*Sales!E308</f>
        <v/>
      </c>
      <c r="F308">
        <f>MATCH(Sales!C308, Products!A:A, 0)</f>
        <v/>
      </c>
      <c r="G308">
        <f>OFFSET(Sales!E308,1,0)</f>
        <v/>
      </c>
      <c r="H308">
        <f>IF(AND(Sales!D308*Sales!E308&gt;5000, INDEX(Products!C:C, MATCH(Sales!C308, Products!A:A, 0))="Electronics"),"High Value","Normal")</f>
        <v/>
      </c>
    </row>
    <row r="309">
      <c r="A309">
        <f>Sales!A309</f>
        <v/>
      </c>
      <c r="B309">
        <f>VLOOKUP(Sales!C309,Products!A:E,2,FALSE)</f>
        <v/>
      </c>
      <c r="C309">
        <f>INDEX(Products!C:C, MATCH(Sales!C309, Products!A:A, 0))</f>
        <v/>
      </c>
      <c r="D309">
        <f>XLOOKUP(Sales!C309, Products!A:A, Products!D:D)</f>
        <v/>
      </c>
      <c r="E309">
        <f>Sales!D309*Sales!E309</f>
        <v/>
      </c>
      <c r="F309">
        <f>MATCH(Sales!C309, Products!A:A, 0)</f>
        <v/>
      </c>
      <c r="G309">
        <f>OFFSET(Sales!E309,1,0)</f>
        <v/>
      </c>
      <c r="H309">
        <f>IF(AND(Sales!D309*Sales!E309&gt;5000, INDEX(Products!C:C, MATCH(Sales!C309, Products!A:A, 0))="Electronics"),"High Value","Normal")</f>
        <v/>
      </c>
    </row>
    <row r="310">
      <c r="A310">
        <f>Sales!A310</f>
        <v/>
      </c>
      <c r="B310">
        <f>VLOOKUP(Sales!C310,Products!A:E,2,FALSE)</f>
        <v/>
      </c>
      <c r="C310">
        <f>INDEX(Products!C:C, MATCH(Sales!C310, Products!A:A, 0))</f>
        <v/>
      </c>
      <c r="D310">
        <f>XLOOKUP(Sales!C310, Products!A:A, Products!D:D)</f>
        <v/>
      </c>
      <c r="E310">
        <f>Sales!D310*Sales!E310</f>
        <v/>
      </c>
      <c r="F310">
        <f>MATCH(Sales!C310, Products!A:A, 0)</f>
        <v/>
      </c>
      <c r="G310">
        <f>OFFSET(Sales!E310,1,0)</f>
        <v/>
      </c>
      <c r="H310">
        <f>IF(AND(Sales!D310*Sales!E310&gt;5000, INDEX(Products!C:C, MATCH(Sales!C310, Products!A:A, 0))="Electronics"),"High Value","Normal")</f>
        <v/>
      </c>
    </row>
    <row r="311">
      <c r="A311">
        <f>Sales!A311</f>
        <v/>
      </c>
      <c r="B311">
        <f>VLOOKUP(Sales!C311,Products!A:E,2,FALSE)</f>
        <v/>
      </c>
      <c r="C311">
        <f>INDEX(Products!C:C, MATCH(Sales!C311, Products!A:A, 0))</f>
        <v/>
      </c>
      <c r="D311">
        <f>XLOOKUP(Sales!C311, Products!A:A, Products!D:D)</f>
        <v/>
      </c>
      <c r="E311">
        <f>Sales!D311*Sales!E311</f>
        <v/>
      </c>
      <c r="F311">
        <f>MATCH(Sales!C311, Products!A:A, 0)</f>
        <v/>
      </c>
      <c r="G311">
        <f>OFFSET(Sales!E311,1,0)</f>
        <v/>
      </c>
      <c r="H311">
        <f>IF(AND(Sales!D311*Sales!E311&gt;5000, INDEX(Products!C:C, MATCH(Sales!C311, Products!A:A, 0))="Electronics"),"High Value","Normal")</f>
        <v/>
      </c>
    </row>
    <row r="312">
      <c r="A312">
        <f>Sales!A312</f>
        <v/>
      </c>
      <c r="B312">
        <f>VLOOKUP(Sales!C312,Products!A:E,2,FALSE)</f>
        <v/>
      </c>
      <c r="C312">
        <f>INDEX(Products!C:C, MATCH(Sales!C312, Products!A:A, 0))</f>
        <v/>
      </c>
      <c r="D312">
        <f>XLOOKUP(Sales!C312, Products!A:A, Products!D:D)</f>
        <v/>
      </c>
      <c r="E312">
        <f>Sales!D312*Sales!E312</f>
        <v/>
      </c>
      <c r="F312">
        <f>MATCH(Sales!C312, Products!A:A, 0)</f>
        <v/>
      </c>
      <c r="G312">
        <f>OFFSET(Sales!E312,1,0)</f>
        <v/>
      </c>
      <c r="H312">
        <f>IF(AND(Sales!D312*Sales!E312&gt;5000, INDEX(Products!C:C, MATCH(Sales!C312, Products!A:A, 0))="Electronics"),"High Value","Normal")</f>
        <v/>
      </c>
    </row>
    <row r="313">
      <c r="A313">
        <f>Sales!A313</f>
        <v/>
      </c>
      <c r="B313">
        <f>VLOOKUP(Sales!C313,Products!A:E,2,FALSE)</f>
        <v/>
      </c>
      <c r="C313">
        <f>INDEX(Products!C:C, MATCH(Sales!C313, Products!A:A, 0))</f>
        <v/>
      </c>
      <c r="D313">
        <f>XLOOKUP(Sales!C313, Products!A:A, Products!D:D)</f>
        <v/>
      </c>
      <c r="E313">
        <f>Sales!D313*Sales!E313</f>
        <v/>
      </c>
      <c r="F313">
        <f>MATCH(Sales!C313, Products!A:A, 0)</f>
        <v/>
      </c>
      <c r="G313">
        <f>OFFSET(Sales!E313,1,0)</f>
        <v/>
      </c>
      <c r="H313">
        <f>IF(AND(Sales!D313*Sales!E313&gt;5000, INDEX(Products!C:C, MATCH(Sales!C313, Products!A:A, 0))="Electronics"),"High Value","Normal")</f>
        <v/>
      </c>
    </row>
    <row r="314">
      <c r="A314">
        <f>Sales!A314</f>
        <v/>
      </c>
      <c r="B314">
        <f>VLOOKUP(Sales!C314,Products!A:E,2,FALSE)</f>
        <v/>
      </c>
      <c r="C314">
        <f>INDEX(Products!C:C, MATCH(Sales!C314, Products!A:A, 0))</f>
        <v/>
      </c>
      <c r="D314">
        <f>XLOOKUP(Sales!C314, Products!A:A, Products!D:D)</f>
        <v/>
      </c>
      <c r="E314">
        <f>Sales!D314*Sales!E314</f>
        <v/>
      </c>
      <c r="F314">
        <f>MATCH(Sales!C314, Products!A:A, 0)</f>
        <v/>
      </c>
      <c r="G314">
        <f>OFFSET(Sales!E314,1,0)</f>
        <v/>
      </c>
      <c r="H314">
        <f>IF(AND(Sales!D314*Sales!E314&gt;5000, INDEX(Products!C:C, MATCH(Sales!C314, Products!A:A, 0))="Electronics"),"High Value","Normal")</f>
        <v/>
      </c>
    </row>
    <row r="315">
      <c r="A315">
        <f>Sales!A315</f>
        <v/>
      </c>
      <c r="B315">
        <f>VLOOKUP(Sales!C315,Products!A:E,2,FALSE)</f>
        <v/>
      </c>
      <c r="C315">
        <f>INDEX(Products!C:C, MATCH(Sales!C315, Products!A:A, 0))</f>
        <v/>
      </c>
      <c r="D315">
        <f>XLOOKUP(Sales!C315, Products!A:A, Products!D:D)</f>
        <v/>
      </c>
      <c r="E315">
        <f>Sales!D315*Sales!E315</f>
        <v/>
      </c>
      <c r="F315">
        <f>MATCH(Sales!C315, Products!A:A, 0)</f>
        <v/>
      </c>
      <c r="G315">
        <f>OFFSET(Sales!E315,1,0)</f>
        <v/>
      </c>
      <c r="H315">
        <f>IF(AND(Sales!D315*Sales!E315&gt;5000, INDEX(Products!C:C, MATCH(Sales!C315, Products!A:A, 0))="Electronics"),"High Value","Normal")</f>
        <v/>
      </c>
    </row>
    <row r="316">
      <c r="A316">
        <f>Sales!A316</f>
        <v/>
      </c>
      <c r="B316">
        <f>VLOOKUP(Sales!C316,Products!A:E,2,FALSE)</f>
        <v/>
      </c>
      <c r="C316">
        <f>INDEX(Products!C:C, MATCH(Sales!C316, Products!A:A, 0))</f>
        <v/>
      </c>
      <c r="D316">
        <f>XLOOKUP(Sales!C316, Products!A:A, Products!D:D)</f>
        <v/>
      </c>
      <c r="E316">
        <f>Sales!D316*Sales!E316</f>
        <v/>
      </c>
      <c r="F316">
        <f>MATCH(Sales!C316, Products!A:A, 0)</f>
        <v/>
      </c>
      <c r="G316">
        <f>OFFSET(Sales!E316,1,0)</f>
        <v/>
      </c>
      <c r="H316">
        <f>IF(AND(Sales!D316*Sales!E316&gt;5000, INDEX(Products!C:C, MATCH(Sales!C316, Products!A:A, 0))="Electronics"),"High Value","Normal")</f>
        <v/>
      </c>
    </row>
    <row r="317">
      <c r="A317">
        <f>Sales!A317</f>
        <v/>
      </c>
      <c r="B317">
        <f>VLOOKUP(Sales!C317,Products!A:E,2,FALSE)</f>
        <v/>
      </c>
      <c r="C317">
        <f>INDEX(Products!C:C, MATCH(Sales!C317, Products!A:A, 0))</f>
        <v/>
      </c>
      <c r="D317">
        <f>XLOOKUP(Sales!C317, Products!A:A, Products!D:D)</f>
        <v/>
      </c>
      <c r="E317">
        <f>Sales!D317*Sales!E317</f>
        <v/>
      </c>
      <c r="F317">
        <f>MATCH(Sales!C317, Products!A:A, 0)</f>
        <v/>
      </c>
      <c r="G317">
        <f>OFFSET(Sales!E317,1,0)</f>
        <v/>
      </c>
      <c r="H317">
        <f>IF(AND(Sales!D317*Sales!E317&gt;5000, INDEX(Products!C:C, MATCH(Sales!C317, Products!A:A, 0))="Electronics"),"High Value","Normal")</f>
        <v/>
      </c>
    </row>
    <row r="318">
      <c r="A318">
        <f>Sales!A318</f>
        <v/>
      </c>
      <c r="B318">
        <f>VLOOKUP(Sales!C318,Products!A:E,2,FALSE)</f>
        <v/>
      </c>
      <c r="C318">
        <f>INDEX(Products!C:C, MATCH(Sales!C318, Products!A:A, 0))</f>
        <v/>
      </c>
      <c r="D318">
        <f>XLOOKUP(Sales!C318, Products!A:A, Products!D:D)</f>
        <v/>
      </c>
      <c r="E318">
        <f>Sales!D318*Sales!E318</f>
        <v/>
      </c>
      <c r="F318">
        <f>MATCH(Sales!C318, Products!A:A, 0)</f>
        <v/>
      </c>
      <c r="G318">
        <f>OFFSET(Sales!E318,1,0)</f>
        <v/>
      </c>
      <c r="H318">
        <f>IF(AND(Sales!D318*Sales!E318&gt;5000, INDEX(Products!C:C, MATCH(Sales!C318, Products!A:A, 0))="Electronics"),"High Value","Normal")</f>
        <v/>
      </c>
    </row>
    <row r="319">
      <c r="A319">
        <f>Sales!A319</f>
        <v/>
      </c>
      <c r="B319">
        <f>VLOOKUP(Sales!C319,Products!A:E,2,FALSE)</f>
        <v/>
      </c>
      <c r="C319">
        <f>INDEX(Products!C:C, MATCH(Sales!C319, Products!A:A, 0))</f>
        <v/>
      </c>
      <c r="D319">
        <f>XLOOKUP(Sales!C319, Products!A:A, Products!D:D)</f>
        <v/>
      </c>
      <c r="E319">
        <f>Sales!D319*Sales!E319</f>
        <v/>
      </c>
      <c r="F319">
        <f>MATCH(Sales!C319, Products!A:A, 0)</f>
        <v/>
      </c>
      <c r="G319">
        <f>OFFSET(Sales!E319,1,0)</f>
        <v/>
      </c>
      <c r="H319">
        <f>IF(AND(Sales!D319*Sales!E319&gt;5000, INDEX(Products!C:C, MATCH(Sales!C319, Products!A:A, 0))="Electronics"),"High Value","Normal")</f>
        <v/>
      </c>
    </row>
    <row r="320">
      <c r="A320">
        <f>Sales!A320</f>
        <v/>
      </c>
      <c r="B320">
        <f>VLOOKUP(Sales!C320,Products!A:E,2,FALSE)</f>
        <v/>
      </c>
      <c r="C320">
        <f>INDEX(Products!C:C, MATCH(Sales!C320, Products!A:A, 0))</f>
        <v/>
      </c>
      <c r="D320">
        <f>XLOOKUP(Sales!C320, Products!A:A, Products!D:D)</f>
        <v/>
      </c>
      <c r="E320">
        <f>Sales!D320*Sales!E320</f>
        <v/>
      </c>
      <c r="F320">
        <f>MATCH(Sales!C320, Products!A:A, 0)</f>
        <v/>
      </c>
      <c r="G320">
        <f>OFFSET(Sales!E320,1,0)</f>
        <v/>
      </c>
      <c r="H320">
        <f>IF(AND(Sales!D320*Sales!E320&gt;5000, INDEX(Products!C:C, MATCH(Sales!C320, Products!A:A, 0))="Electronics"),"High Value","Normal")</f>
        <v/>
      </c>
    </row>
    <row r="321">
      <c r="A321">
        <f>Sales!A321</f>
        <v/>
      </c>
      <c r="B321">
        <f>VLOOKUP(Sales!C321,Products!A:E,2,FALSE)</f>
        <v/>
      </c>
      <c r="C321">
        <f>INDEX(Products!C:C, MATCH(Sales!C321, Products!A:A, 0))</f>
        <v/>
      </c>
      <c r="D321">
        <f>XLOOKUP(Sales!C321, Products!A:A, Products!D:D)</f>
        <v/>
      </c>
      <c r="E321">
        <f>Sales!D321*Sales!E321</f>
        <v/>
      </c>
      <c r="F321">
        <f>MATCH(Sales!C321, Products!A:A, 0)</f>
        <v/>
      </c>
      <c r="G321">
        <f>OFFSET(Sales!E321,1,0)</f>
        <v/>
      </c>
      <c r="H321">
        <f>IF(AND(Sales!D321*Sales!E321&gt;5000, INDEX(Products!C:C, MATCH(Sales!C321, Products!A:A, 0))="Electronics"),"High Value","Normal")</f>
        <v/>
      </c>
    </row>
    <row r="322">
      <c r="A322">
        <f>Sales!A322</f>
        <v/>
      </c>
      <c r="B322">
        <f>VLOOKUP(Sales!C322,Products!A:E,2,FALSE)</f>
        <v/>
      </c>
      <c r="C322">
        <f>INDEX(Products!C:C, MATCH(Sales!C322, Products!A:A, 0))</f>
        <v/>
      </c>
      <c r="D322">
        <f>XLOOKUP(Sales!C322, Products!A:A, Products!D:D)</f>
        <v/>
      </c>
      <c r="E322">
        <f>Sales!D322*Sales!E322</f>
        <v/>
      </c>
      <c r="F322">
        <f>MATCH(Sales!C322, Products!A:A, 0)</f>
        <v/>
      </c>
      <c r="G322">
        <f>OFFSET(Sales!E322,1,0)</f>
        <v/>
      </c>
      <c r="H322">
        <f>IF(AND(Sales!D322*Sales!E322&gt;5000, INDEX(Products!C:C, MATCH(Sales!C322, Products!A:A, 0))="Electronics"),"High Value","Normal")</f>
        <v/>
      </c>
    </row>
    <row r="323">
      <c r="A323">
        <f>Sales!A323</f>
        <v/>
      </c>
      <c r="B323">
        <f>VLOOKUP(Sales!C323,Products!A:E,2,FALSE)</f>
        <v/>
      </c>
      <c r="C323">
        <f>INDEX(Products!C:C, MATCH(Sales!C323, Products!A:A, 0))</f>
        <v/>
      </c>
      <c r="D323">
        <f>XLOOKUP(Sales!C323, Products!A:A, Products!D:D)</f>
        <v/>
      </c>
      <c r="E323">
        <f>Sales!D323*Sales!E323</f>
        <v/>
      </c>
      <c r="F323">
        <f>MATCH(Sales!C323, Products!A:A, 0)</f>
        <v/>
      </c>
      <c r="G323">
        <f>OFFSET(Sales!E323,1,0)</f>
        <v/>
      </c>
      <c r="H323">
        <f>IF(AND(Sales!D323*Sales!E323&gt;5000, INDEX(Products!C:C, MATCH(Sales!C323, Products!A:A, 0))="Electronics"),"High Value","Normal")</f>
        <v/>
      </c>
    </row>
    <row r="324">
      <c r="A324">
        <f>Sales!A324</f>
        <v/>
      </c>
      <c r="B324">
        <f>VLOOKUP(Sales!C324,Products!A:E,2,FALSE)</f>
        <v/>
      </c>
      <c r="C324">
        <f>INDEX(Products!C:C, MATCH(Sales!C324, Products!A:A, 0))</f>
        <v/>
      </c>
      <c r="D324">
        <f>XLOOKUP(Sales!C324, Products!A:A, Products!D:D)</f>
        <v/>
      </c>
      <c r="E324">
        <f>Sales!D324*Sales!E324</f>
        <v/>
      </c>
      <c r="F324">
        <f>MATCH(Sales!C324, Products!A:A, 0)</f>
        <v/>
      </c>
      <c r="G324">
        <f>OFFSET(Sales!E324,1,0)</f>
        <v/>
      </c>
      <c r="H324">
        <f>IF(AND(Sales!D324*Sales!E324&gt;5000, INDEX(Products!C:C, MATCH(Sales!C324, Products!A:A, 0))="Electronics"),"High Value","Normal")</f>
        <v/>
      </c>
    </row>
    <row r="325">
      <c r="A325">
        <f>Sales!A325</f>
        <v/>
      </c>
      <c r="B325">
        <f>VLOOKUP(Sales!C325,Products!A:E,2,FALSE)</f>
        <v/>
      </c>
      <c r="C325">
        <f>INDEX(Products!C:C, MATCH(Sales!C325, Products!A:A, 0))</f>
        <v/>
      </c>
      <c r="D325">
        <f>XLOOKUP(Sales!C325, Products!A:A, Products!D:D)</f>
        <v/>
      </c>
      <c r="E325">
        <f>Sales!D325*Sales!E325</f>
        <v/>
      </c>
      <c r="F325">
        <f>MATCH(Sales!C325, Products!A:A, 0)</f>
        <v/>
      </c>
      <c r="G325">
        <f>OFFSET(Sales!E325,1,0)</f>
        <v/>
      </c>
      <c r="H325">
        <f>IF(AND(Sales!D325*Sales!E325&gt;5000, INDEX(Products!C:C, MATCH(Sales!C325, Products!A:A, 0))="Electronics"),"High Value","Normal")</f>
        <v/>
      </c>
    </row>
    <row r="326">
      <c r="A326">
        <f>Sales!A326</f>
        <v/>
      </c>
      <c r="B326">
        <f>VLOOKUP(Sales!C326,Products!A:E,2,FALSE)</f>
        <v/>
      </c>
      <c r="C326">
        <f>INDEX(Products!C:C, MATCH(Sales!C326, Products!A:A, 0))</f>
        <v/>
      </c>
      <c r="D326">
        <f>XLOOKUP(Sales!C326, Products!A:A, Products!D:D)</f>
        <v/>
      </c>
      <c r="E326">
        <f>Sales!D326*Sales!E326</f>
        <v/>
      </c>
      <c r="F326">
        <f>MATCH(Sales!C326, Products!A:A, 0)</f>
        <v/>
      </c>
      <c r="G326">
        <f>OFFSET(Sales!E326,1,0)</f>
        <v/>
      </c>
      <c r="H326">
        <f>IF(AND(Sales!D326*Sales!E326&gt;5000, INDEX(Products!C:C, MATCH(Sales!C326, Products!A:A, 0))="Electronics"),"High Value","Normal")</f>
        <v/>
      </c>
    </row>
    <row r="327">
      <c r="A327">
        <f>Sales!A327</f>
        <v/>
      </c>
      <c r="B327">
        <f>VLOOKUP(Sales!C327,Products!A:E,2,FALSE)</f>
        <v/>
      </c>
      <c r="C327">
        <f>INDEX(Products!C:C, MATCH(Sales!C327, Products!A:A, 0))</f>
        <v/>
      </c>
      <c r="D327">
        <f>XLOOKUP(Sales!C327, Products!A:A, Products!D:D)</f>
        <v/>
      </c>
      <c r="E327">
        <f>Sales!D327*Sales!E327</f>
        <v/>
      </c>
      <c r="F327">
        <f>MATCH(Sales!C327, Products!A:A, 0)</f>
        <v/>
      </c>
      <c r="G327">
        <f>OFFSET(Sales!E327,1,0)</f>
        <v/>
      </c>
      <c r="H327">
        <f>IF(AND(Sales!D327*Sales!E327&gt;5000, INDEX(Products!C:C, MATCH(Sales!C327, Products!A:A, 0))="Electronics"),"High Value","Normal")</f>
        <v/>
      </c>
    </row>
    <row r="328">
      <c r="A328">
        <f>Sales!A328</f>
        <v/>
      </c>
      <c r="B328">
        <f>VLOOKUP(Sales!C328,Products!A:E,2,FALSE)</f>
        <v/>
      </c>
      <c r="C328">
        <f>INDEX(Products!C:C, MATCH(Sales!C328, Products!A:A, 0))</f>
        <v/>
      </c>
      <c r="D328">
        <f>XLOOKUP(Sales!C328, Products!A:A, Products!D:D)</f>
        <v/>
      </c>
      <c r="E328">
        <f>Sales!D328*Sales!E328</f>
        <v/>
      </c>
      <c r="F328">
        <f>MATCH(Sales!C328, Products!A:A, 0)</f>
        <v/>
      </c>
      <c r="G328">
        <f>OFFSET(Sales!E328,1,0)</f>
        <v/>
      </c>
      <c r="H328">
        <f>IF(AND(Sales!D328*Sales!E328&gt;5000, INDEX(Products!C:C, MATCH(Sales!C328, Products!A:A, 0))="Electronics"),"High Value","Normal")</f>
        <v/>
      </c>
    </row>
    <row r="329">
      <c r="A329">
        <f>Sales!A329</f>
        <v/>
      </c>
      <c r="B329">
        <f>VLOOKUP(Sales!C329,Products!A:E,2,FALSE)</f>
        <v/>
      </c>
      <c r="C329">
        <f>INDEX(Products!C:C, MATCH(Sales!C329, Products!A:A, 0))</f>
        <v/>
      </c>
      <c r="D329">
        <f>XLOOKUP(Sales!C329, Products!A:A, Products!D:D)</f>
        <v/>
      </c>
      <c r="E329">
        <f>Sales!D329*Sales!E329</f>
        <v/>
      </c>
      <c r="F329">
        <f>MATCH(Sales!C329, Products!A:A, 0)</f>
        <v/>
      </c>
      <c r="G329">
        <f>OFFSET(Sales!E329,1,0)</f>
        <v/>
      </c>
      <c r="H329">
        <f>IF(AND(Sales!D329*Sales!E329&gt;5000, INDEX(Products!C:C, MATCH(Sales!C329, Products!A:A, 0))="Electronics"),"High Value","Normal")</f>
        <v/>
      </c>
    </row>
    <row r="330">
      <c r="A330">
        <f>Sales!A330</f>
        <v/>
      </c>
      <c r="B330">
        <f>VLOOKUP(Sales!C330,Products!A:E,2,FALSE)</f>
        <v/>
      </c>
      <c r="C330">
        <f>INDEX(Products!C:C, MATCH(Sales!C330, Products!A:A, 0))</f>
        <v/>
      </c>
      <c r="D330">
        <f>XLOOKUP(Sales!C330, Products!A:A, Products!D:D)</f>
        <v/>
      </c>
      <c r="E330">
        <f>Sales!D330*Sales!E330</f>
        <v/>
      </c>
      <c r="F330">
        <f>MATCH(Sales!C330, Products!A:A, 0)</f>
        <v/>
      </c>
      <c r="G330">
        <f>OFFSET(Sales!E330,1,0)</f>
        <v/>
      </c>
      <c r="H330">
        <f>IF(AND(Sales!D330*Sales!E330&gt;5000, INDEX(Products!C:C, MATCH(Sales!C330, Products!A:A, 0))="Electronics"),"High Value","Normal")</f>
        <v/>
      </c>
    </row>
    <row r="331">
      <c r="A331">
        <f>Sales!A331</f>
        <v/>
      </c>
      <c r="B331">
        <f>VLOOKUP(Sales!C331,Products!A:E,2,FALSE)</f>
        <v/>
      </c>
      <c r="C331">
        <f>INDEX(Products!C:C, MATCH(Sales!C331, Products!A:A, 0))</f>
        <v/>
      </c>
      <c r="D331">
        <f>XLOOKUP(Sales!C331, Products!A:A, Products!D:D)</f>
        <v/>
      </c>
      <c r="E331">
        <f>Sales!D331*Sales!E331</f>
        <v/>
      </c>
      <c r="F331">
        <f>MATCH(Sales!C331, Products!A:A, 0)</f>
        <v/>
      </c>
      <c r="G331">
        <f>OFFSET(Sales!E331,1,0)</f>
        <v/>
      </c>
      <c r="H331">
        <f>IF(AND(Sales!D331*Sales!E331&gt;5000, INDEX(Products!C:C, MATCH(Sales!C331, Products!A:A, 0))="Electronics"),"High Value","Normal")</f>
        <v/>
      </c>
    </row>
    <row r="332">
      <c r="A332">
        <f>Sales!A332</f>
        <v/>
      </c>
      <c r="B332">
        <f>VLOOKUP(Sales!C332,Products!A:E,2,FALSE)</f>
        <v/>
      </c>
      <c r="C332">
        <f>INDEX(Products!C:C, MATCH(Sales!C332, Products!A:A, 0))</f>
        <v/>
      </c>
      <c r="D332">
        <f>XLOOKUP(Sales!C332, Products!A:A, Products!D:D)</f>
        <v/>
      </c>
      <c r="E332">
        <f>Sales!D332*Sales!E332</f>
        <v/>
      </c>
      <c r="F332">
        <f>MATCH(Sales!C332, Products!A:A, 0)</f>
        <v/>
      </c>
      <c r="G332">
        <f>OFFSET(Sales!E332,1,0)</f>
        <v/>
      </c>
      <c r="H332">
        <f>IF(AND(Sales!D332*Sales!E332&gt;5000, INDEX(Products!C:C, MATCH(Sales!C332, Products!A:A, 0))="Electronics"),"High Value","Normal")</f>
        <v/>
      </c>
    </row>
    <row r="333">
      <c r="A333">
        <f>Sales!A333</f>
        <v/>
      </c>
      <c r="B333">
        <f>VLOOKUP(Sales!C333,Products!A:E,2,FALSE)</f>
        <v/>
      </c>
      <c r="C333">
        <f>INDEX(Products!C:C, MATCH(Sales!C333, Products!A:A, 0))</f>
        <v/>
      </c>
      <c r="D333">
        <f>XLOOKUP(Sales!C333, Products!A:A, Products!D:D)</f>
        <v/>
      </c>
      <c r="E333">
        <f>Sales!D333*Sales!E333</f>
        <v/>
      </c>
      <c r="F333">
        <f>MATCH(Sales!C333, Products!A:A, 0)</f>
        <v/>
      </c>
      <c r="G333">
        <f>OFFSET(Sales!E333,1,0)</f>
        <v/>
      </c>
      <c r="H333">
        <f>IF(AND(Sales!D333*Sales!E333&gt;5000, INDEX(Products!C:C, MATCH(Sales!C333, Products!A:A, 0))="Electronics"),"High Value","Normal")</f>
        <v/>
      </c>
    </row>
    <row r="334">
      <c r="A334">
        <f>Sales!A334</f>
        <v/>
      </c>
      <c r="B334">
        <f>VLOOKUP(Sales!C334,Products!A:E,2,FALSE)</f>
        <v/>
      </c>
      <c r="C334">
        <f>INDEX(Products!C:C, MATCH(Sales!C334, Products!A:A, 0))</f>
        <v/>
      </c>
      <c r="D334">
        <f>XLOOKUP(Sales!C334, Products!A:A, Products!D:D)</f>
        <v/>
      </c>
      <c r="E334">
        <f>Sales!D334*Sales!E334</f>
        <v/>
      </c>
      <c r="F334">
        <f>MATCH(Sales!C334, Products!A:A, 0)</f>
        <v/>
      </c>
      <c r="G334">
        <f>OFFSET(Sales!E334,1,0)</f>
        <v/>
      </c>
      <c r="H334">
        <f>IF(AND(Sales!D334*Sales!E334&gt;5000, INDEX(Products!C:C, MATCH(Sales!C334, Products!A:A, 0))="Electronics"),"High Value","Normal")</f>
        <v/>
      </c>
    </row>
    <row r="335">
      <c r="A335">
        <f>Sales!A335</f>
        <v/>
      </c>
      <c r="B335">
        <f>VLOOKUP(Sales!C335,Products!A:E,2,FALSE)</f>
        <v/>
      </c>
      <c r="C335">
        <f>INDEX(Products!C:C, MATCH(Sales!C335, Products!A:A, 0))</f>
        <v/>
      </c>
      <c r="D335">
        <f>XLOOKUP(Sales!C335, Products!A:A, Products!D:D)</f>
        <v/>
      </c>
      <c r="E335">
        <f>Sales!D335*Sales!E335</f>
        <v/>
      </c>
      <c r="F335">
        <f>MATCH(Sales!C335, Products!A:A, 0)</f>
        <v/>
      </c>
      <c r="G335">
        <f>OFFSET(Sales!E335,1,0)</f>
        <v/>
      </c>
      <c r="H335">
        <f>IF(AND(Sales!D335*Sales!E335&gt;5000, INDEX(Products!C:C, MATCH(Sales!C335, Products!A:A, 0))="Electronics"),"High Value","Normal")</f>
        <v/>
      </c>
    </row>
    <row r="336">
      <c r="A336">
        <f>Sales!A336</f>
        <v/>
      </c>
      <c r="B336">
        <f>VLOOKUP(Sales!C336,Products!A:E,2,FALSE)</f>
        <v/>
      </c>
      <c r="C336">
        <f>INDEX(Products!C:C, MATCH(Sales!C336, Products!A:A, 0))</f>
        <v/>
      </c>
      <c r="D336">
        <f>XLOOKUP(Sales!C336, Products!A:A, Products!D:D)</f>
        <v/>
      </c>
      <c r="E336">
        <f>Sales!D336*Sales!E336</f>
        <v/>
      </c>
      <c r="F336">
        <f>MATCH(Sales!C336, Products!A:A, 0)</f>
        <v/>
      </c>
      <c r="G336">
        <f>OFFSET(Sales!E336,1,0)</f>
        <v/>
      </c>
      <c r="H336">
        <f>IF(AND(Sales!D336*Sales!E336&gt;5000, INDEX(Products!C:C, MATCH(Sales!C336, Products!A:A, 0))="Electronics"),"High Value","Normal")</f>
        <v/>
      </c>
    </row>
    <row r="337">
      <c r="A337">
        <f>Sales!A337</f>
        <v/>
      </c>
      <c r="B337">
        <f>VLOOKUP(Sales!C337,Products!A:E,2,FALSE)</f>
        <v/>
      </c>
      <c r="C337">
        <f>INDEX(Products!C:C, MATCH(Sales!C337, Products!A:A, 0))</f>
        <v/>
      </c>
      <c r="D337">
        <f>XLOOKUP(Sales!C337, Products!A:A, Products!D:D)</f>
        <v/>
      </c>
      <c r="E337">
        <f>Sales!D337*Sales!E337</f>
        <v/>
      </c>
      <c r="F337">
        <f>MATCH(Sales!C337, Products!A:A, 0)</f>
        <v/>
      </c>
      <c r="G337">
        <f>OFFSET(Sales!E337,1,0)</f>
        <v/>
      </c>
      <c r="H337">
        <f>IF(AND(Sales!D337*Sales!E337&gt;5000, INDEX(Products!C:C, MATCH(Sales!C337, Products!A:A, 0))="Electronics"),"High Value","Normal")</f>
        <v/>
      </c>
    </row>
    <row r="338">
      <c r="A338">
        <f>Sales!A338</f>
        <v/>
      </c>
      <c r="B338">
        <f>VLOOKUP(Sales!C338,Products!A:E,2,FALSE)</f>
        <v/>
      </c>
      <c r="C338">
        <f>INDEX(Products!C:C, MATCH(Sales!C338, Products!A:A, 0))</f>
        <v/>
      </c>
      <c r="D338">
        <f>XLOOKUP(Sales!C338, Products!A:A, Products!D:D)</f>
        <v/>
      </c>
      <c r="E338">
        <f>Sales!D338*Sales!E338</f>
        <v/>
      </c>
      <c r="F338">
        <f>MATCH(Sales!C338, Products!A:A, 0)</f>
        <v/>
      </c>
      <c r="G338">
        <f>OFFSET(Sales!E338,1,0)</f>
        <v/>
      </c>
      <c r="H338">
        <f>IF(AND(Sales!D338*Sales!E338&gt;5000, INDEX(Products!C:C, MATCH(Sales!C338, Products!A:A, 0))="Electronics"),"High Value","Normal")</f>
        <v/>
      </c>
    </row>
    <row r="339">
      <c r="A339">
        <f>Sales!A339</f>
        <v/>
      </c>
      <c r="B339">
        <f>VLOOKUP(Sales!C339,Products!A:E,2,FALSE)</f>
        <v/>
      </c>
      <c r="C339">
        <f>INDEX(Products!C:C, MATCH(Sales!C339, Products!A:A, 0))</f>
        <v/>
      </c>
      <c r="D339">
        <f>XLOOKUP(Sales!C339, Products!A:A, Products!D:D)</f>
        <v/>
      </c>
      <c r="E339">
        <f>Sales!D339*Sales!E339</f>
        <v/>
      </c>
      <c r="F339">
        <f>MATCH(Sales!C339, Products!A:A, 0)</f>
        <v/>
      </c>
      <c r="G339">
        <f>OFFSET(Sales!E339,1,0)</f>
        <v/>
      </c>
      <c r="H339">
        <f>IF(AND(Sales!D339*Sales!E339&gt;5000, INDEX(Products!C:C, MATCH(Sales!C339, Products!A:A, 0))="Electronics"),"High Value","Normal")</f>
        <v/>
      </c>
    </row>
    <row r="340">
      <c r="A340">
        <f>Sales!A340</f>
        <v/>
      </c>
      <c r="B340">
        <f>VLOOKUP(Sales!C340,Products!A:E,2,FALSE)</f>
        <v/>
      </c>
      <c r="C340">
        <f>INDEX(Products!C:C, MATCH(Sales!C340, Products!A:A, 0))</f>
        <v/>
      </c>
      <c r="D340">
        <f>XLOOKUP(Sales!C340, Products!A:A, Products!D:D)</f>
        <v/>
      </c>
      <c r="E340">
        <f>Sales!D340*Sales!E340</f>
        <v/>
      </c>
      <c r="F340">
        <f>MATCH(Sales!C340, Products!A:A, 0)</f>
        <v/>
      </c>
      <c r="G340">
        <f>OFFSET(Sales!E340,1,0)</f>
        <v/>
      </c>
      <c r="H340">
        <f>IF(AND(Sales!D340*Sales!E340&gt;5000, INDEX(Products!C:C, MATCH(Sales!C340, Products!A:A, 0))="Electronics"),"High Value","Normal")</f>
        <v/>
      </c>
    </row>
    <row r="341">
      <c r="A341">
        <f>Sales!A341</f>
        <v/>
      </c>
      <c r="B341">
        <f>VLOOKUP(Sales!C341,Products!A:E,2,FALSE)</f>
        <v/>
      </c>
      <c r="C341">
        <f>INDEX(Products!C:C, MATCH(Sales!C341, Products!A:A, 0))</f>
        <v/>
      </c>
      <c r="D341">
        <f>XLOOKUP(Sales!C341, Products!A:A, Products!D:D)</f>
        <v/>
      </c>
      <c r="E341">
        <f>Sales!D341*Sales!E341</f>
        <v/>
      </c>
      <c r="F341">
        <f>MATCH(Sales!C341, Products!A:A, 0)</f>
        <v/>
      </c>
      <c r="G341">
        <f>OFFSET(Sales!E341,1,0)</f>
        <v/>
      </c>
      <c r="H341">
        <f>IF(AND(Sales!D341*Sales!E341&gt;5000, INDEX(Products!C:C, MATCH(Sales!C341, Products!A:A, 0))="Electronics"),"High Value","Normal")</f>
        <v/>
      </c>
    </row>
    <row r="342">
      <c r="A342">
        <f>Sales!A342</f>
        <v/>
      </c>
      <c r="B342">
        <f>VLOOKUP(Sales!C342,Products!A:E,2,FALSE)</f>
        <v/>
      </c>
      <c r="C342">
        <f>INDEX(Products!C:C, MATCH(Sales!C342, Products!A:A, 0))</f>
        <v/>
      </c>
      <c r="D342">
        <f>XLOOKUP(Sales!C342, Products!A:A, Products!D:D)</f>
        <v/>
      </c>
      <c r="E342">
        <f>Sales!D342*Sales!E342</f>
        <v/>
      </c>
      <c r="F342">
        <f>MATCH(Sales!C342, Products!A:A, 0)</f>
        <v/>
      </c>
      <c r="G342">
        <f>OFFSET(Sales!E342,1,0)</f>
        <v/>
      </c>
      <c r="H342">
        <f>IF(AND(Sales!D342*Sales!E342&gt;5000, INDEX(Products!C:C, MATCH(Sales!C342, Products!A:A, 0))="Electronics"),"High Value","Normal")</f>
        <v/>
      </c>
    </row>
    <row r="343">
      <c r="A343">
        <f>Sales!A343</f>
        <v/>
      </c>
      <c r="B343">
        <f>VLOOKUP(Sales!C343,Products!A:E,2,FALSE)</f>
        <v/>
      </c>
      <c r="C343">
        <f>INDEX(Products!C:C, MATCH(Sales!C343, Products!A:A, 0))</f>
        <v/>
      </c>
      <c r="D343">
        <f>XLOOKUP(Sales!C343, Products!A:A, Products!D:D)</f>
        <v/>
      </c>
      <c r="E343">
        <f>Sales!D343*Sales!E343</f>
        <v/>
      </c>
      <c r="F343">
        <f>MATCH(Sales!C343, Products!A:A, 0)</f>
        <v/>
      </c>
      <c r="G343">
        <f>OFFSET(Sales!E343,1,0)</f>
        <v/>
      </c>
      <c r="H343">
        <f>IF(AND(Sales!D343*Sales!E343&gt;5000, INDEX(Products!C:C, MATCH(Sales!C343, Products!A:A, 0))="Electronics"),"High Value","Normal")</f>
        <v/>
      </c>
    </row>
    <row r="344">
      <c r="A344">
        <f>Sales!A344</f>
        <v/>
      </c>
      <c r="B344">
        <f>VLOOKUP(Sales!C344,Products!A:E,2,FALSE)</f>
        <v/>
      </c>
      <c r="C344">
        <f>INDEX(Products!C:C, MATCH(Sales!C344, Products!A:A, 0))</f>
        <v/>
      </c>
      <c r="D344">
        <f>XLOOKUP(Sales!C344, Products!A:A, Products!D:D)</f>
        <v/>
      </c>
      <c r="E344">
        <f>Sales!D344*Sales!E344</f>
        <v/>
      </c>
      <c r="F344">
        <f>MATCH(Sales!C344, Products!A:A, 0)</f>
        <v/>
      </c>
      <c r="G344">
        <f>OFFSET(Sales!E344,1,0)</f>
        <v/>
      </c>
      <c r="H344">
        <f>IF(AND(Sales!D344*Sales!E344&gt;5000, INDEX(Products!C:C, MATCH(Sales!C344, Products!A:A, 0))="Electronics"),"High Value","Normal")</f>
        <v/>
      </c>
    </row>
    <row r="345">
      <c r="A345">
        <f>Sales!A345</f>
        <v/>
      </c>
      <c r="B345">
        <f>VLOOKUP(Sales!C345,Products!A:E,2,FALSE)</f>
        <v/>
      </c>
      <c r="C345">
        <f>INDEX(Products!C:C, MATCH(Sales!C345, Products!A:A, 0))</f>
        <v/>
      </c>
      <c r="D345">
        <f>XLOOKUP(Sales!C345, Products!A:A, Products!D:D)</f>
        <v/>
      </c>
      <c r="E345">
        <f>Sales!D345*Sales!E345</f>
        <v/>
      </c>
      <c r="F345">
        <f>MATCH(Sales!C345, Products!A:A, 0)</f>
        <v/>
      </c>
      <c r="G345">
        <f>OFFSET(Sales!E345,1,0)</f>
        <v/>
      </c>
      <c r="H345">
        <f>IF(AND(Sales!D345*Sales!E345&gt;5000, INDEX(Products!C:C, MATCH(Sales!C345, Products!A:A, 0))="Electronics"),"High Value","Normal")</f>
        <v/>
      </c>
    </row>
    <row r="346">
      <c r="A346">
        <f>Sales!A346</f>
        <v/>
      </c>
      <c r="B346">
        <f>VLOOKUP(Sales!C346,Products!A:E,2,FALSE)</f>
        <v/>
      </c>
      <c r="C346">
        <f>INDEX(Products!C:C, MATCH(Sales!C346, Products!A:A, 0))</f>
        <v/>
      </c>
      <c r="D346">
        <f>XLOOKUP(Sales!C346, Products!A:A, Products!D:D)</f>
        <v/>
      </c>
      <c r="E346">
        <f>Sales!D346*Sales!E346</f>
        <v/>
      </c>
      <c r="F346">
        <f>MATCH(Sales!C346, Products!A:A, 0)</f>
        <v/>
      </c>
      <c r="G346">
        <f>OFFSET(Sales!E346,1,0)</f>
        <v/>
      </c>
      <c r="H346">
        <f>IF(AND(Sales!D346*Sales!E346&gt;5000, INDEX(Products!C:C, MATCH(Sales!C346, Products!A:A, 0))="Electronics"),"High Value","Normal")</f>
        <v/>
      </c>
    </row>
    <row r="347">
      <c r="A347">
        <f>Sales!A347</f>
        <v/>
      </c>
      <c r="B347">
        <f>VLOOKUP(Sales!C347,Products!A:E,2,FALSE)</f>
        <v/>
      </c>
      <c r="C347">
        <f>INDEX(Products!C:C, MATCH(Sales!C347, Products!A:A, 0))</f>
        <v/>
      </c>
      <c r="D347">
        <f>XLOOKUP(Sales!C347, Products!A:A, Products!D:D)</f>
        <v/>
      </c>
      <c r="E347">
        <f>Sales!D347*Sales!E347</f>
        <v/>
      </c>
      <c r="F347">
        <f>MATCH(Sales!C347, Products!A:A, 0)</f>
        <v/>
      </c>
      <c r="G347">
        <f>OFFSET(Sales!E347,1,0)</f>
        <v/>
      </c>
      <c r="H347">
        <f>IF(AND(Sales!D347*Sales!E347&gt;5000, INDEX(Products!C:C, MATCH(Sales!C347, Products!A:A, 0))="Electronics"),"High Value","Normal")</f>
        <v/>
      </c>
    </row>
    <row r="348">
      <c r="A348">
        <f>Sales!A348</f>
        <v/>
      </c>
      <c r="B348">
        <f>VLOOKUP(Sales!C348,Products!A:E,2,FALSE)</f>
        <v/>
      </c>
      <c r="C348">
        <f>INDEX(Products!C:C, MATCH(Sales!C348, Products!A:A, 0))</f>
        <v/>
      </c>
      <c r="D348">
        <f>XLOOKUP(Sales!C348, Products!A:A, Products!D:D)</f>
        <v/>
      </c>
      <c r="E348">
        <f>Sales!D348*Sales!E348</f>
        <v/>
      </c>
      <c r="F348">
        <f>MATCH(Sales!C348, Products!A:A, 0)</f>
        <v/>
      </c>
      <c r="G348">
        <f>OFFSET(Sales!E348,1,0)</f>
        <v/>
      </c>
      <c r="H348">
        <f>IF(AND(Sales!D348*Sales!E348&gt;5000, INDEX(Products!C:C, MATCH(Sales!C348, Products!A:A, 0))="Electronics"),"High Value","Normal")</f>
        <v/>
      </c>
    </row>
    <row r="349">
      <c r="A349">
        <f>Sales!A349</f>
        <v/>
      </c>
      <c r="B349">
        <f>VLOOKUP(Sales!C349,Products!A:E,2,FALSE)</f>
        <v/>
      </c>
      <c r="C349">
        <f>INDEX(Products!C:C, MATCH(Sales!C349, Products!A:A, 0))</f>
        <v/>
      </c>
      <c r="D349">
        <f>XLOOKUP(Sales!C349, Products!A:A, Products!D:D)</f>
        <v/>
      </c>
      <c r="E349">
        <f>Sales!D349*Sales!E349</f>
        <v/>
      </c>
      <c r="F349">
        <f>MATCH(Sales!C349, Products!A:A, 0)</f>
        <v/>
      </c>
      <c r="G349">
        <f>OFFSET(Sales!E349,1,0)</f>
        <v/>
      </c>
      <c r="H349">
        <f>IF(AND(Sales!D349*Sales!E349&gt;5000, INDEX(Products!C:C, MATCH(Sales!C349, Products!A:A, 0))="Electronics"),"High Value","Normal")</f>
        <v/>
      </c>
    </row>
    <row r="350">
      <c r="A350">
        <f>Sales!A350</f>
        <v/>
      </c>
      <c r="B350">
        <f>VLOOKUP(Sales!C350,Products!A:E,2,FALSE)</f>
        <v/>
      </c>
      <c r="C350">
        <f>INDEX(Products!C:C, MATCH(Sales!C350, Products!A:A, 0))</f>
        <v/>
      </c>
      <c r="D350">
        <f>XLOOKUP(Sales!C350, Products!A:A, Products!D:D)</f>
        <v/>
      </c>
      <c r="E350">
        <f>Sales!D350*Sales!E350</f>
        <v/>
      </c>
      <c r="F350">
        <f>MATCH(Sales!C350, Products!A:A, 0)</f>
        <v/>
      </c>
      <c r="G350">
        <f>OFFSET(Sales!E350,1,0)</f>
        <v/>
      </c>
      <c r="H350">
        <f>IF(AND(Sales!D350*Sales!E350&gt;5000, INDEX(Products!C:C, MATCH(Sales!C350, Products!A:A, 0))="Electronics"),"High Value","Normal")</f>
        <v/>
      </c>
    </row>
    <row r="351">
      <c r="A351">
        <f>Sales!A351</f>
        <v/>
      </c>
      <c r="B351">
        <f>VLOOKUP(Sales!C351,Products!A:E,2,FALSE)</f>
        <v/>
      </c>
      <c r="C351">
        <f>INDEX(Products!C:C, MATCH(Sales!C351, Products!A:A, 0))</f>
        <v/>
      </c>
      <c r="D351">
        <f>XLOOKUP(Sales!C351, Products!A:A, Products!D:D)</f>
        <v/>
      </c>
      <c r="E351">
        <f>Sales!D351*Sales!E351</f>
        <v/>
      </c>
      <c r="F351">
        <f>MATCH(Sales!C351, Products!A:A, 0)</f>
        <v/>
      </c>
      <c r="G351">
        <f>OFFSET(Sales!E351,1,0)</f>
        <v/>
      </c>
      <c r="H351">
        <f>IF(AND(Sales!D351*Sales!E351&gt;5000, INDEX(Products!C:C, MATCH(Sales!C351, Products!A:A, 0))="Electronics"),"High Value","Normal")</f>
        <v/>
      </c>
    </row>
    <row r="352">
      <c r="A352">
        <f>Sales!A352</f>
        <v/>
      </c>
      <c r="B352">
        <f>VLOOKUP(Sales!C352,Products!A:E,2,FALSE)</f>
        <v/>
      </c>
      <c r="C352">
        <f>INDEX(Products!C:C, MATCH(Sales!C352, Products!A:A, 0))</f>
        <v/>
      </c>
      <c r="D352">
        <f>XLOOKUP(Sales!C352, Products!A:A, Products!D:D)</f>
        <v/>
      </c>
      <c r="E352">
        <f>Sales!D352*Sales!E352</f>
        <v/>
      </c>
      <c r="F352">
        <f>MATCH(Sales!C352, Products!A:A, 0)</f>
        <v/>
      </c>
      <c r="G352">
        <f>OFFSET(Sales!E352,1,0)</f>
        <v/>
      </c>
      <c r="H352">
        <f>IF(AND(Sales!D352*Sales!E352&gt;5000, INDEX(Products!C:C, MATCH(Sales!C352, Products!A:A, 0))="Electronics"),"High Value","Normal")</f>
        <v/>
      </c>
    </row>
    <row r="353">
      <c r="A353">
        <f>Sales!A353</f>
        <v/>
      </c>
      <c r="B353">
        <f>VLOOKUP(Sales!C353,Products!A:E,2,FALSE)</f>
        <v/>
      </c>
      <c r="C353">
        <f>INDEX(Products!C:C, MATCH(Sales!C353, Products!A:A, 0))</f>
        <v/>
      </c>
      <c r="D353">
        <f>XLOOKUP(Sales!C353, Products!A:A, Products!D:D)</f>
        <v/>
      </c>
      <c r="E353">
        <f>Sales!D353*Sales!E353</f>
        <v/>
      </c>
      <c r="F353">
        <f>MATCH(Sales!C353, Products!A:A, 0)</f>
        <v/>
      </c>
      <c r="G353">
        <f>OFFSET(Sales!E353,1,0)</f>
        <v/>
      </c>
      <c r="H353">
        <f>IF(AND(Sales!D353*Sales!E353&gt;5000, INDEX(Products!C:C, MATCH(Sales!C353, Products!A:A, 0))="Electronics"),"High Value","Normal")</f>
        <v/>
      </c>
    </row>
    <row r="354">
      <c r="A354">
        <f>Sales!A354</f>
        <v/>
      </c>
      <c r="B354">
        <f>VLOOKUP(Sales!C354,Products!A:E,2,FALSE)</f>
        <v/>
      </c>
      <c r="C354">
        <f>INDEX(Products!C:C, MATCH(Sales!C354, Products!A:A, 0))</f>
        <v/>
      </c>
      <c r="D354">
        <f>XLOOKUP(Sales!C354, Products!A:A, Products!D:D)</f>
        <v/>
      </c>
      <c r="E354">
        <f>Sales!D354*Sales!E354</f>
        <v/>
      </c>
      <c r="F354">
        <f>MATCH(Sales!C354, Products!A:A, 0)</f>
        <v/>
      </c>
      <c r="G354">
        <f>OFFSET(Sales!E354,1,0)</f>
        <v/>
      </c>
      <c r="H354">
        <f>IF(AND(Sales!D354*Sales!E354&gt;5000, INDEX(Products!C:C, MATCH(Sales!C354, Products!A:A, 0))="Electronics"),"High Value","Normal")</f>
        <v/>
      </c>
    </row>
    <row r="355">
      <c r="A355">
        <f>Sales!A355</f>
        <v/>
      </c>
      <c r="B355">
        <f>VLOOKUP(Sales!C355,Products!A:E,2,FALSE)</f>
        <v/>
      </c>
      <c r="C355">
        <f>INDEX(Products!C:C, MATCH(Sales!C355, Products!A:A, 0))</f>
        <v/>
      </c>
      <c r="D355">
        <f>XLOOKUP(Sales!C355, Products!A:A, Products!D:D)</f>
        <v/>
      </c>
      <c r="E355">
        <f>Sales!D355*Sales!E355</f>
        <v/>
      </c>
      <c r="F355">
        <f>MATCH(Sales!C355, Products!A:A, 0)</f>
        <v/>
      </c>
      <c r="G355">
        <f>OFFSET(Sales!E355,1,0)</f>
        <v/>
      </c>
      <c r="H355">
        <f>IF(AND(Sales!D355*Sales!E355&gt;5000, INDEX(Products!C:C, MATCH(Sales!C355, Products!A:A, 0))="Electronics"),"High Value","Normal")</f>
        <v/>
      </c>
    </row>
    <row r="356">
      <c r="A356">
        <f>Sales!A356</f>
        <v/>
      </c>
      <c r="B356">
        <f>VLOOKUP(Sales!C356,Products!A:E,2,FALSE)</f>
        <v/>
      </c>
      <c r="C356">
        <f>INDEX(Products!C:C, MATCH(Sales!C356, Products!A:A, 0))</f>
        <v/>
      </c>
      <c r="D356">
        <f>XLOOKUP(Sales!C356, Products!A:A, Products!D:D)</f>
        <v/>
      </c>
      <c r="E356">
        <f>Sales!D356*Sales!E356</f>
        <v/>
      </c>
      <c r="F356">
        <f>MATCH(Sales!C356, Products!A:A, 0)</f>
        <v/>
      </c>
      <c r="G356">
        <f>OFFSET(Sales!E356,1,0)</f>
        <v/>
      </c>
      <c r="H356">
        <f>IF(AND(Sales!D356*Sales!E356&gt;5000, INDEX(Products!C:C, MATCH(Sales!C356, Products!A:A, 0))="Electronics"),"High Value","Normal")</f>
        <v/>
      </c>
    </row>
    <row r="357">
      <c r="A357">
        <f>Sales!A357</f>
        <v/>
      </c>
      <c r="B357">
        <f>VLOOKUP(Sales!C357,Products!A:E,2,FALSE)</f>
        <v/>
      </c>
      <c r="C357">
        <f>INDEX(Products!C:C, MATCH(Sales!C357, Products!A:A, 0))</f>
        <v/>
      </c>
      <c r="D357">
        <f>XLOOKUP(Sales!C357, Products!A:A, Products!D:D)</f>
        <v/>
      </c>
      <c r="E357">
        <f>Sales!D357*Sales!E357</f>
        <v/>
      </c>
      <c r="F357">
        <f>MATCH(Sales!C357, Products!A:A, 0)</f>
        <v/>
      </c>
      <c r="G357">
        <f>OFFSET(Sales!E357,1,0)</f>
        <v/>
      </c>
      <c r="H357">
        <f>IF(AND(Sales!D357*Sales!E357&gt;5000, INDEX(Products!C:C, MATCH(Sales!C357, Products!A:A, 0))="Electronics"),"High Value","Normal")</f>
        <v/>
      </c>
    </row>
    <row r="358">
      <c r="A358">
        <f>Sales!A358</f>
        <v/>
      </c>
      <c r="B358">
        <f>VLOOKUP(Sales!C358,Products!A:E,2,FALSE)</f>
        <v/>
      </c>
      <c r="C358">
        <f>INDEX(Products!C:C, MATCH(Sales!C358, Products!A:A, 0))</f>
        <v/>
      </c>
      <c r="D358">
        <f>XLOOKUP(Sales!C358, Products!A:A, Products!D:D)</f>
        <v/>
      </c>
      <c r="E358">
        <f>Sales!D358*Sales!E358</f>
        <v/>
      </c>
      <c r="F358">
        <f>MATCH(Sales!C358, Products!A:A, 0)</f>
        <v/>
      </c>
      <c r="G358">
        <f>OFFSET(Sales!E358,1,0)</f>
        <v/>
      </c>
      <c r="H358">
        <f>IF(AND(Sales!D358*Sales!E358&gt;5000, INDEX(Products!C:C, MATCH(Sales!C358, Products!A:A, 0))="Electronics"),"High Value","Normal")</f>
        <v/>
      </c>
    </row>
    <row r="359">
      <c r="A359">
        <f>Sales!A359</f>
        <v/>
      </c>
      <c r="B359">
        <f>VLOOKUP(Sales!C359,Products!A:E,2,FALSE)</f>
        <v/>
      </c>
      <c r="C359">
        <f>INDEX(Products!C:C, MATCH(Sales!C359, Products!A:A, 0))</f>
        <v/>
      </c>
      <c r="D359">
        <f>XLOOKUP(Sales!C359, Products!A:A, Products!D:D)</f>
        <v/>
      </c>
      <c r="E359">
        <f>Sales!D359*Sales!E359</f>
        <v/>
      </c>
      <c r="F359">
        <f>MATCH(Sales!C359, Products!A:A, 0)</f>
        <v/>
      </c>
      <c r="G359">
        <f>OFFSET(Sales!E359,1,0)</f>
        <v/>
      </c>
      <c r="H359">
        <f>IF(AND(Sales!D359*Sales!E359&gt;5000, INDEX(Products!C:C, MATCH(Sales!C359, Products!A:A, 0))="Electronics"),"High Value","Normal")</f>
        <v/>
      </c>
    </row>
    <row r="360">
      <c r="A360">
        <f>Sales!A360</f>
        <v/>
      </c>
      <c r="B360">
        <f>VLOOKUP(Sales!C360,Products!A:E,2,FALSE)</f>
        <v/>
      </c>
      <c r="C360">
        <f>INDEX(Products!C:C, MATCH(Sales!C360, Products!A:A, 0))</f>
        <v/>
      </c>
      <c r="D360">
        <f>XLOOKUP(Sales!C360, Products!A:A, Products!D:D)</f>
        <v/>
      </c>
      <c r="E360">
        <f>Sales!D360*Sales!E360</f>
        <v/>
      </c>
      <c r="F360">
        <f>MATCH(Sales!C360, Products!A:A, 0)</f>
        <v/>
      </c>
      <c r="G360">
        <f>OFFSET(Sales!E360,1,0)</f>
        <v/>
      </c>
      <c r="H360">
        <f>IF(AND(Sales!D360*Sales!E360&gt;5000, INDEX(Products!C:C, MATCH(Sales!C360, Products!A:A, 0))="Electronics"),"High Value","Normal")</f>
        <v/>
      </c>
    </row>
    <row r="361">
      <c r="A361">
        <f>Sales!A361</f>
        <v/>
      </c>
      <c r="B361">
        <f>VLOOKUP(Sales!C361,Products!A:E,2,FALSE)</f>
        <v/>
      </c>
      <c r="C361">
        <f>INDEX(Products!C:C, MATCH(Sales!C361, Products!A:A, 0))</f>
        <v/>
      </c>
      <c r="D361">
        <f>XLOOKUP(Sales!C361, Products!A:A, Products!D:D)</f>
        <v/>
      </c>
      <c r="E361">
        <f>Sales!D361*Sales!E361</f>
        <v/>
      </c>
      <c r="F361">
        <f>MATCH(Sales!C361, Products!A:A, 0)</f>
        <v/>
      </c>
      <c r="G361">
        <f>OFFSET(Sales!E361,1,0)</f>
        <v/>
      </c>
      <c r="H361">
        <f>IF(AND(Sales!D361*Sales!E361&gt;5000, INDEX(Products!C:C, MATCH(Sales!C361, Products!A:A, 0))="Electronics"),"High Value","Normal")</f>
        <v/>
      </c>
    </row>
    <row r="362">
      <c r="A362">
        <f>Sales!A362</f>
        <v/>
      </c>
      <c r="B362">
        <f>VLOOKUP(Sales!C362,Products!A:E,2,FALSE)</f>
        <v/>
      </c>
      <c r="C362">
        <f>INDEX(Products!C:C, MATCH(Sales!C362, Products!A:A, 0))</f>
        <v/>
      </c>
      <c r="D362">
        <f>XLOOKUP(Sales!C362, Products!A:A, Products!D:D)</f>
        <v/>
      </c>
      <c r="E362">
        <f>Sales!D362*Sales!E362</f>
        <v/>
      </c>
      <c r="F362">
        <f>MATCH(Sales!C362, Products!A:A, 0)</f>
        <v/>
      </c>
      <c r="G362">
        <f>OFFSET(Sales!E362,1,0)</f>
        <v/>
      </c>
      <c r="H362">
        <f>IF(AND(Sales!D362*Sales!E362&gt;5000, INDEX(Products!C:C, MATCH(Sales!C362, Products!A:A, 0))="Electronics"),"High Value","Normal")</f>
        <v/>
      </c>
    </row>
    <row r="363">
      <c r="A363">
        <f>Sales!A363</f>
        <v/>
      </c>
      <c r="B363">
        <f>VLOOKUP(Sales!C363,Products!A:E,2,FALSE)</f>
        <v/>
      </c>
      <c r="C363">
        <f>INDEX(Products!C:C, MATCH(Sales!C363, Products!A:A, 0))</f>
        <v/>
      </c>
      <c r="D363">
        <f>XLOOKUP(Sales!C363, Products!A:A, Products!D:D)</f>
        <v/>
      </c>
      <c r="E363">
        <f>Sales!D363*Sales!E363</f>
        <v/>
      </c>
      <c r="F363">
        <f>MATCH(Sales!C363, Products!A:A, 0)</f>
        <v/>
      </c>
      <c r="G363">
        <f>OFFSET(Sales!E363,1,0)</f>
        <v/>
      </c>
      <c r="H363">
        <f>IF(AND(Sales!D363*Sales!E363&gt;5000, INDEX(Products!C:C, MATCH(Sales!C363, Products!A:A, 0))="Electronics"),"High Value","Normal")</f>
        <v/>
      </c>
    </row>
    <row r="364">
      <c r="A364">
        <f>Sales!A364</f>
        <v/>
      </c>
      <c r="B364">
        <f>VLOOKUP(Sales!C364,Products!A:E,2,FALSE)</f>
        <v/>
      </c>
      <c r="C364">
        <f>INDEX(Products!C:C, MATCH(Sales!C364, Products!A:A, 0))</f>
        <v/>
      </c>
      <c r="D364">
        <f>XLOOKUP(Sales!C364, Products!A:A, Products!D:D)</f>
        <v/>
      </c>
      <c r="E364">
        <f>Sales!D364*Sales!E364</f>
        <v/>
      </c>
      <c r="F364">
        <f>MATCH(Sales!C364, Products!A:A, 0)</f>
        <v/>
      </c>
      <c r="G364">
        <f>OFFSET(Sales!E364,1,0)</f>
        <v/>
      </c>
      <c r="H364">
        <f>IF(AND(Sales!D364*Sales!E364&gt;5000, INDEX(Products!C:C, MATCH(Sales!C364, Products!A:A, 0))="Electronics"),"High Value","Normal")</f>
        <v/>
      </c>
    </row>
    <row r="365">
      <c r="A365">
        <f>Sales!A365</f>
        <v/>
      </c>
      <c r="B365">
        <f>VLOOKUP(Sales!C365,Products!A:E,2,FALSE)</f>
        <v/>
      </c>
      <c r="C365">
        <f>INDEX(Products!C:C, MATCH(Sales!C365, Products!A:A, 0))</f>
        <v/>
      </c>
      <c r="D365">
        <f>XLOOKUP(Sales!C365, Products!A:A, Products!D:D)</f>
        <v/>
      </c>
      <c r="E365">
        <f>Sales!D365*Sales!E365</f>
        <v/>
      </c>
      <c r="F365">
        <f>MATCH(Sales!C365, Products!A:A, 0)</f>
        <v/>
      </c>
      <c r="G365">
        <f>OFFSET(Sales!E365,1,0)</f>
        <v/>
      </c>
      <c r="H365">
        <f>IF(AND(Sales!D365*Sales!E365&gt;5000, INDEX(Products!C:C, MATCH(Sales!C365, Products!A:A, 0))="Electronics"),"High Value","Normal")</f>
        <v/>
      </c>
    </row>
    <row r="366">
      <c r="A366">
        <f>Sales!A366</f>
        <v/>
      </c>
      <c r="B366">
        <f>VLOOKUP(Sales!C366,Products!A:E,2,FALSE)</f>
        <v/>
      </c>
      <c r="C366">
        <f>INDEX(Products!C:C, MATCH(Sales!C366, Products!A:A, 0))</f>
        <v/>
      </c>
      <c r="D366">
        <f>XLOOKUP(Sales!C366, Products!A:A, Products!D:D)</f>
        <v/>
      </c>
      <c r="E366">
        <f>Sales!D366*Sales!E366</f>
        <v/>
      </c>
      <c r="F366">
        <f>MATCH(Sales!C366, Products!A:A, 0)</f>
        <v/>
      </c>
      <c r="G366">
        <f>OFFSET(Sales!E366,1,0)</f>
        <v/>
      </c>
      <c r="H366">
        <f>IF(AND(Sales!D366*Sales!E366&gt;5000, INDEX(Products!C:C, MATCH(Sales!C366, Products!A:A, 0))="Electronics"),"High Value","Normal")</f>
        <v/>
      </c>
    </row>
    <row r="367">
      <c r="A367">
        <f>Sales!A367</f>
        <v/>
      </c>
      <c r="B367">
        <f>VLOOKUP(Sales!C367,Products!A:E,2,FALSE)</f>
        <v/>
      </c>
      <c r="C367">
        <f>INDEX(Products!C:C, MATCH(Sales!C367, Products!A:A, 0))</f>
        <v/>
      </c>
      <c r="D367">
        <f>XLOOKUP(Sales!C367, Products!A:A, Products!D:D)</f>
        <v/>
      </c>
      <c r="E367">
        <f>Sales!D367*Sales!E367</f>
        <v/>
      </c>
      <c r="F367">
        <f>MATCH(Sales!C367, Products!A:A, 0)</f>
        <v/>
      </c>
      <c r="G367">
        <f>OFFSET(Sales!E367,1,0)</f>
        <v/>
      </c>
      <c r="H367">
        <f>IF(AND(Sales!D367*Sales!E367&gt;5000, INDEX(Products!C:C, MATCH(Sales!C367, Products!A:A, 0))="Electronics"),"High Value","Normal")</f>
        <v/>
      </c>
    </row>
    <row r="368">
      <c r="A368">
        <f>Sales!A368</f>
        <v/>
      </c>
      <c r="B368">
        <f>VLOOKUP(Sales!C368,Products!A:E,2,FALSE)</f>
        <v/>
      </c>
      <c r="C368">
        <f>INDEX(Products!C:C, MATCH(Sales!C368, Products!A:A, 0))</f>
        <v/>
      </c>
      <c r="D368">
        <f>XLOOKUP(Sales!C368, Products!A:A, Products!D:D)</f>
        <v/>
      </c>
      <c r="E368">
        <f>Sales!D368*Sales!E368</f>
        <v/>
      </c>
      <c r="F368">
        <f>MATCH(Sales!C368, Products!A:A, 0)</f>
        <v/>
      </c>
      <c r="G368">
        <f>OFFSET(Sales!E368,1,0)</f>
        <v/>
      </c>
      <c r="H368">
        <f>IF(AND(Sales!D368*Sales!E368&gt;5000, INDEX(Products!C:C, MATCH(Sales!C368, Products!A:A, 0))="Electronics"),"High Value","Normal")</f>
        <v/>
      </c>
    </row>
    <row r="369">
      <c r="A369">
        <f>Sales!A369</f>
        <v/>
      </c>
      <c r="B369">
        <f>VLOOKUP(Sales!C369,Products!A:E,2,FALSE)</f>
        <v/>
      </c>
      <c r="C369">
        <f>INDEX(Products!C:C, MATCH(Sales!C369, Products!A:A, 0))</f>
        <v/>
      </c>
      <c r="D369">
        <f>XLOOKUP(Sales!C369, Products!A:A, Products!D:D)</f>
        <v/>
      </c>
      <c r="E369">
        <f>Sales!D369*Sales!E369</f>
        <v/>
      </c>
      <c r="F369">
        <f>MATCH(Sales!C369, Products!A:A, 0)</f>
        <v/>
      </c>
      <c r="G369">
        <f>OFFSET(Sales!E369,1,0)</f>
        <v/>
      </c>
      <c r="H369">
        <f>IF(AND(Sales!D369*Sales!E369&gt;5000, INDEX(Products!C:C, MATCH(Sales!C369, Products!A:A, 0))="Electronics"),"High Value","Normal")</f>
        <v/>
      </c>
    </row>
    <row r="370">
      <c r="A370">
        <f>Sales!A370</f>
        <v/>
      </c>
      <c r="B370">
        <f>VLOOKUP(Sales!C370,Products!A:E,2,FALSE)</f>
        <v/>
      </c>
      <c r="C370">
        <f>INDEX(Products!C:C, MATCH(Sales!C370, Products!A:A, 0))</f>
        <v/>
      </c>
      <c r="D370">
        <f>XLOOKUP(Sales!C370, Products!A:A, Products!D:D)</f>
        <v/>
      </c>
      <c r="E370">
        <f>Sales!D370*Sales!E370</f>
        <v/>
      </c>
      <c r="F370">
        <f>MATCH(Sales!C370, Products!A:A, 0)</f>
        <v/>
      </c>
      <c r="G370">
        <f>OFFSET(Sales!E370,1,0)</f>
        <v/>
      </c>
      <c r="H370">
        <f>IF(AND(Sales!D370*Sales!E370&gt;5000, INDEX(Products!C:C, MATCH(Sales!C370, Products!A:A, 0))="Electronics"),"High Value","Normal")</f>
        <v/>
      </c>
    </row>
    <row r="371">
      <c r="A371">
        <f>Sales!A371</f>
        <v/>
      </c>
      <c r="B371">
        <f>VLOOKUP(Sales!C371,Products!A:E,2,FALSE)</f>
        <v/>
      </c>
      <c r="C371">
        <f>INDEX(Products!C:C, MATCH(Sales!C371, Products!A:A, 0))</f>
        <v/>
      </c>
      <c r="D371">
        <f>XLOOKUP(Sales!C371, Products!A:A, Products!D:D)</f>
        <v/>
      </c>
      <c r="E371">
        <f>Sales!D371*Sales!E371</f>
        <v/>
      </c>
      <c r="F371">
        <f>MATCH(Sales!C371, Products!A:A, 0)</f>
        <v/>
      </c>
      <c r="G371">
        <f>OFFSET(Sales!E371,1,0)</f>
        <v/>
      </c>
      <c r="H371">
        <f>IF(AND(Sales!D371*Sales!E371&gt;5000, INDEX(Products!C:C, MATCH(Sales!C371, Products!A:A, 0))="Electronics"),"High Value","Normal")</f>
        <v/>
      </c>
    </row>
    <row r="372">
      <c r="A372">
        <f>Sales!A372</f>
        <v/>
      </c>
      <c r="B372">
        <f>VLOOKUP(Sales!C372,Products!A:E,2,FALSE)</f>
        <v/>
      </c>
      <c r="C372">
        <f>INDEX(Products!C:C, MATCH(Sales!C372, Products!A:A, 0))</f>
        <v/>
      </c>
      <c r="D372">
        <f>XLOOKUP(Sales!C372, Products!A:A, Products!D:D)</f>
        <v/>
      </c>
      <c r="E372">
        <f>Sales!D372*Sales!E372</f>
        <v/>
      </c>
      <c r="F372">
        <f>MATCH(Sales!C372, Products!A:A, 0)</f>
        <v/>
      </c>
      <c r="G372">
        <f>OFFSET(Sales!E372,1,0)</f>
        <v/>
      </c>
      <c r="H372">
        <f>IF(AND(Sales!D372*Sales!E372&gt;5000, INDEX(Products!C:C, MATCH(Sales!C372, Products!A:A, 0))="Electronics"),"High Value","Normal")</f>
        <v/>
      </c>
    </row>
    <row r="373">
      <c r="A373">
        <f>Sales!A373</f>
        <v/>
      </c>
      <c r="B373">
        <f>VLOOKUP(Sales!C373,Products!A:E,2,FALSE)</f>
        <v/>
      </c>
      <c r="C373">
        <f>INDEX(Products!C:C, MATCH(Sales!C373, Products!A:A, 0))</f>
        <v/>
      </c>
      <c r="D373">
        <f>XLOOKUP(Sales!C373, Products!A:A, Products!D:D)</f>
        <v/>
      </c>
      <c r="E373">
        <f>Sales!D373*Sales!E373</f>
        <v/>
      </c>
      <c r="F373">
        <f>MATCH(Sales!C373, Products!A:A, 0)</f>
        <v/>
      </c>
      <c r="G373">
        <f>OFFSET(Sales!E373,1,0)</f>
        <v/>
      </c>
      <c r="H373">
        <f>IF(AND(Sales!D373*Sales!E373&gt;5000, INDEX(Products!C:C, MATCH(Sales!C373, Products!A:A, 0))="Electronics"),"High Value","Normal")</f>
        <v/>
      </c>
    </row>
    <row r="374">
      <c r="A374">
        <f>Sales!A374</f>
        <v/>
      </c>
      <c r="B374">
        <f>VLOOKUP(Sales!C374,Products!A:E,2,FALSE)</f>
        <v/>
      </c>
      <c r="C374">
        <f>INDEX(Products!C:C, MATCH(Sales!C374, Products!A:A, 0))</f>
        <v/>
      </c>
      <c r="D374">
        <f>XLOOKUP(Sales!C374, Products!A:A, Products!D:D)</f>
        <v/>
      </c>
      <c r="E374">
        <f>Sales!D374*Sales!E374</f>
        <v/>
      </c>
      <c r="F374">
        <f>MATCH(Sales!C374, Products!A:A, 0)</f>
        <v/>
      </c>
      <c r="G374">
        <f>OFFSET(Sales!E374,1,0)</f>
        <v/>
      </c>
      <c r="H374">
        <f>IF(AND(Sales!D374*Sales!E374&gt;5000, INDEX(Products!C:C, MATCH(Sales!C374, Products!A:A, 0))="Electronics"),"High Value","Normal")</f>
        <v/>
      </c>
    </row>
    <row r="375">
      <c r="A375">
        <f>Sales!A375</f>
        <v/>
      </c>
      <c r="B375">
        <f>VLOOKUP(Sales!C375,Products!A:E,2,FALSE)</f>
        <v/>
      </c>
      <c r="C375">
        <f>INDEX(Products!C:C, MATCH(Sales!C375, Products!A:A, 0))</f>
        <v/>
      </c>
      <c r="D375">
        <f>XLOOKUP(Sales!C375, Products!A:A, Products!D:D)</f>
        <v/>
      </c>
      <c r="E375">
        <f>Sales!D375*Sales!E375</f>
        <v/>
      </c>
      <c r="F375">
        <f>MATCH(Sales!C375, Products!A:A, 0)</f>
        <v/>
      </c>
      <c r="G375">
        <f>OFFSET(Sales!E375,1,0)</f>
        <v/>
      </c>
      <c r="H375">
        <f>IF(AND(Sales!D375*Sales!E375&gt;5000, INDEX(Products!C:C, MATCH(Sales!C375, Products!A:A, 0))="Electronics"),"High Value","Normal")</f>
        <v/>
      </c>
    </row>
    <row r="376">
      <c r="A376">
        <f>Sales!A376</f>
        <v/>
      </c>
      <c r="B376">
        <f>VLOOKUP(Sales!C376,Products!A:E,2,FALSE)</f>
        <v/>
      </c>
      <c r="C376">
        <f>INDEX(Products!C:C, MATCH(Sales!C376, Products!A:A, 0))</f>
        <v/>
      </c>
      <c r="D376">
        <f>XLOOKUP(Sales!C376, Products!A:A, Products!D:D)</f>
        <v/>
      </c>
      <c r="E376">
        <f>Sales!D376*Sales!E376</f>
        <v/>
      </c>
      <c r="F376">
        <f>MATCH(Sales!C376, Products!A:A, 0)</f>
        <v/>
      </c>
      <c r="G376">
        <f>OFFSET(Sales!E376,1,0)</f>
        <v/>
      </c>
      <c r="H376">
        <f>IF(AND(Sales!D376*Sales!E376&gt;5000, INDEX(Products!C:C, MATCH(Sales!C376, Products!A:A, 0))="Electronics"),"High Value","Normal")</f>
        <v/>
      </c>
    </row>
    <row r="377">
      <c r="A377">
        <f>Sales!A377</f>
        <v/>
      </c>
      <c r="B377">
        <f>VLOOKUP(Sales!C377,Products!A:E,2,FALSE)</f>
        <v/>
      </c>
      <c r="C377">
        <f>INDEX(Products!C:C, MATCH(Sales!C377, Products!A:A, 0))</f>
        <v/>
      </c>
      <c r="D377">
        <f>XLOOKUP(Sales!C377, Products!A:A, Products!D:D)</f>
        <v/>
      </c>
      <c r="E377">
        <f>Sales!D377*Sales!E377</f>
        <v/>
      </c>
      <c r="F377">
        <f>MATCH(Sales!C377, Products!A:A, 0)</f>
        <v/>
      </c>
      <c r="G377">
        <f>OFFSET(Sales!E377,1,0)</f>
        <v/>
      </c>
      <c r="H377">
        <f>IF(AND(Sales!D377*Sales!E377&gt;5000, INDEX(Products!C:C, MATCH(Sales!C377, Products!A:A, 0))="Electronics"),"High Value","Normal")</f>
        <v/>
      </c>
    </row>
    <row r="378">
      <c r="A378">
        <f>Sales!A378</f>
        <v/>
      </c>
      <c r="B378">
        <f>VLOOKUP(Sales!C378,Products!A:E,2,FALSE)</f>
        <v/>
      </c>
      <c r="C378">
        <f>INDEX(Products!C:C, MATCH(Sales!C378, Products!A:A, 0))</f>
        <v/>
      </c>
      <c r="D378">
        <f>XLOOKUP(Sales!C378, Products!A:A, Products!D:D)</f>
        <v/>
      </c>
      <c r="E378">
        <f>Sales!D378*Sales!E378</f>
        <v/>
      </c>
      <c r="F378">
        <f>MATCH(Sales!C378, Products!A:A, 0)</f>
        <v/>
      </c>
      <c r="G378">
        <f>OFFSET(Sales!E378,1,0)</f>
        <v/>
      </c>
      <c r="H378">
        <f>IF(AND(Sales!D378*Sales!E378&gt;5000, INDEX(Products!C:C, MATCH(Sales!C378, Products!A:A, 0))="Electronics"),"High Value","Normal")</f>
        <v/>
      </c>
    </row>
    <row r="379">
      <c r="A379">
        <f>Sales!A379</f>
        <v/>
      </c>
      <c r="B379">
        <f>VLOOKUP(Sales!C379,Products!A:E,2,FALSE)</f>
        <v/>
      </c>
      <c r="C379">
        <f>INDEX(Products!C:C, MATCH(Sales!C379, Products!A:A, 0))</f>
        <v/>
      </c>
      <c r="D379">
        <f>XLOOKUP(Sales!C379, Products!A:A, Products!D:D)</f>
        <v/>
      </c>
      <c r="E379">
        <f>Sales!D379*Sales!E379</f>
        <v/>
      </c>
      <c r="F379">
        <f>MATCH(Sales!C379, Products!A:A, 0)</f>
        <v/>
      </c>
      <c r="G379">
        <f>OFFSET(Sales!E379,1,0)</f>
        <v/>
      </c>
      <c r="H379">
        <f>IF(AND(Sales!D379*Sales!E379&gt;5000, INDEX(Products!C:C, MATCH(Sales!C379, Products!A:A, 0))="Electronics"),"High Value","Normal")</f>
        <v/>
      </c>
    </row>
    <row r="380">
      <c r="A380">
        <f>Sales!A380</f>
        <v/>
      </c>
      <c r="B380">
        <f>VLOOKUP(Sales!C380,Products!A:E,2,FALSE)</f>
        <v/>
      </c>
      <c r="C380">
        <f>INDEX(Products!C:C, MATCH(Sales!C380, Products!A:A, 0))</f>
        <v/>
      </c>
      <c r="D380">
        <f>XLOOKUP(Sales!C380, Products!A:A, Products!D:D)</f>
        <v/>
      </c>
      <c r="E380">
        <f>Sales!D380*Sales!E380</f>
        <v/>
      </c>
      <c r="F380">
        <f>MATCH(Sales!C380, Products!A:A, 0)</f>
        <v/>
      </c>
      <c r="G380">
        <f>OFFSET(Sales!E380,1,0)</f>
        <v/>
      </c>
      <c r="H380">
        <f>IF(AND(Sales!D380*Sales!E380&gt;5000, INDEX(Products!C:C, MATCH(Sales!C380, Products!A:A, 0))="Electronics"),"High Value","Normal")</f>
        <v/>
      </c>
    </row>
    <row r="381">
      <c r="A381">
        <f>Sales!A381</f>
        <v/>
      </c>
      <c r="B381">
        <f>VLOOKUP(Sales!C381,Products!A:E,2,FALSE)</f>
        <v/>
      </c>
      <c r="C381">
        <f>INDEX(Products!C:C, MATCH(Sales!C381, Products!A:A, 0))</f>
        <v/>
      </c>
      <c r="D381">
        <f>XLOOKUP(Sales!C381, Products!A:A, Products!D:D)</f>
        <v/>
      </c>
      <c r="E381">
        <f>Sales!D381*Sales!E381</f>
        <v/>
      </c>
      <c r="F381">
        <f>MATCH(Sales!C381, Products!A:A, 0)</f>
        <v/>
      </c>
      <c r="G381">
        <f>OFFSET(Sales!E381,1,0)</f>
        <v/>
      </c>
      <c r="H381">
        <f>IF(AND(Sales!D381*Sales!E381&gt;5000, INDEX(Products!C:C, MATCH(Sales!C381, Products!A:A, 0))="Electronics"),"High Value","Normal")</f>
        <v/>
      </c>
    </row>
    <row r="382">
      <c r="A382">
        <f>Sales!A382</f>
        <v/>
      </c>
      <c r="B382">
        <f>VLOOKUP(Sales!C382,Products!A:E,2,FALSE)</f>
        <v/>
      </c>
      <c r="C382">
        <f>INDEX(Products!C:C, MATCH(Sales!C382, Products!A:A, 0))</f>
        <v/>
      </c>
      <c r="D382">
        <f>XLOOKUP(Sales!C382, Products!A:A, Products!D:D)</f>
        <v/>
      </c>
      <c r="E382">
        <f>Sales!D382*Sales!E382</f>
        <v/>
      </c>
      <c r="F382">
        <f>MATCH(Sales!C382, Products!A:A, 0)</f>
        <v/>
      </c>
      <c r="G382">
        <f>OFFSET(Sales!E382,1,0)</f>
        <v/>
      </c>
      <c r="H382">
        <f>IF(AND(Sales!D382*Sales!E382&gt;5000, INDEX(Products!C:C, MATCH(Sales!C382, Products!A:A, 0))="Electronics"),"High Value","Normal")</f>
        <v/>
      </c>
    </row>
    <row r="383">
      <c r="A383">
        <f>Sales!A383</f>
        <v/>
      </c>
      <c r="B383">
        <f>VLOOKUP(Sales!C383,Products!A:E,2,FALSE)</f>
        <v/>
      </c>
      <c r="C383">
        <f>INDEX(Products!C:C, MATCH(Sales!C383, Products!A:A, 0))</f>
        <v/>
      </c>
      <c r="D383">
        <f>XLOOKUP(Sales!C383, Products!A:A, Products!D:D)</f>
        <v/>
      </c>
      <c r="E383">
        <f>Sales!D383*Sales!E383</f>
        <v/>
      </c>
      <c r="F383">
        <f>MATCH(Sales!C383, Products!A:A, 0)</f>
        <v/>
      </c>
      <c r="G383">
        <f>OFFSET(Sales!E383,1,0)</f>
        <v/>
      </c>
      <c r="H383">
        <f>IF(AND(Sales!D383*Sales!E383&gt;5000, INDEX(Products!C:C, MATCH(Sales!C383, Products!A:A, 0))="Electronics"),"High Value","Normal")</f>
        <v/>
      </c>
    </row>
    <row r="384">
      <c r="A384">
        <f>Sales!A384</f>
        <v/>
      </c>
      <c r="B384">
        <f>VLOOKUP(Sales!C384,Products!A:E,2,FALSE)</f>
        <v/>
      </c>
      <c r="C384">
        <f>INDEX(Products!C:C, MATCH(Sales!C384, Products!A:A, 0))</f>
        <v/>
      </c>
      <c r="D384">
        <f>XLOOKUP(Sales!C384, Products!A:A, Products!D:D)</f>
        <v/>
      </c>
      <c r="E384">
        <f>Sales!D384*Sales!E384</f>
        <v/>
      </c>
      <c r="F384">
        <f>MATCH(Sales!C384, Products!A:A, 0)</f>
        <v/>
      </c>
      <c r="G384">
        <f>OFFSET(Sales!E384,1,0)</f>
        <v/>
      </c>
      <c r="H384">
        <f>IF(AND(Sales!D384*Sales!E384&gt;5000, INDEX(Products!C:C, MATCH(Sales!C384, Products!A:A, 0))="Electronics"),"High Value","Normal")</f>
        <v/>
      </c>
    </row>
    <row r="385">
      <c r="A385">
        <f>Sales!A385</f>
        <v/>
      </c>
      <c r="B385">
        <f>VLOOKUP(Sales!C385,Products!A:E,2,FALSE)</f>
        <v/>
      </c>
      <c r="C385">
        <f>INDEX(Products!C:C, MATCH(Sales!C385, Products!A:A, 0))</f>
        <v/>
      </c>
      <c r="D385">
        <f>XLOOKUP(Sales!C385, Products!A:A, Products!D:D)</f>
        <v/>
      </c>
      <c r="E385">
        <f>Sales!D385*Sales!E385</f>
        <v/>
      </c>
      <c r="F385">
        <f>MATCH(Sales!C385, Products!A:A, 0)</f>
        <v/>
      </c>
      <c r="G385">
        <f>OFFSET(Sales!E385,1,0)</f>
        <v/>
      </c>
      <c r="H385">
        <f>IF(AND(Sales!D385*Sales!E385&gt;5000, INDEX(Products!C:C, MATCH(Sales!C385, Products!A:A, 0))="Electronics"),"High Value","Normal")</f>
        <v/>
      </c>
    </row>
    <row r="386">
      <c r="A386">
        <f>Sales!A386</f>
        <v/>
      </c>
      <c r="B386">
        <f>VLOOKUP(Sales!C386,Products!A:E,2,FALSE)</f>
        <v/>
      </c>
      <c r="C386">
        <f>INDEX(Products!C:C, MATCH(Sales!C386, Products!A:A, 0))</f>
        <v/>
      </c>
      <c r="D386">
        <f>XLOOKUP(Sales!C386, Products!A:A, Products!D:D)</f>
        <v/>
      </c>
      <c r="E386">
        <f>Sales!D386*Sales!E386</f>
        <v/>
      </c>
      <c r="F386">
        <f>MATCH(Sales!C386, Products!A:A, 0)</f>
        <v/>
      </c>
      <c r="G386">
        <f>OFFSET(Sales!E386,1,0)</f>
        <v/>
      </c>
      <c r="H386">
        <f>IF(AND(Sales!D386*Sales!E386&gt;5000, INDEX(Products!C:C, MATCH(Sales!C386, Products!A:A, 0))="Electronics"),"High Value","Normal")</f>
        <v/>
      </c>
    </row>
    <row r="387">
      <c r="A387">
        <f>Sales!A387</f>
        <v/>
      </c>
      <c r="B387">
        <f>VLOOKUP(Sales!C387,Products!A:E,2,FALSE)</f>
        <v/>
      </c>
      <c r="C387">
        <f>INDEX(Products!C:C, MATCH(Sales!C387, Products!A:A, 0))</f>
        <v/>
      </c>
      <c r="D387">
        <f>XLOOKUP(Sales!C387, Products!A:A, Products!D:D)</f>
        <v/>
      </c>
      <c r="E387">
        <f>Sales!D387*Sales!E387</f>
        <v/>
      </c>
      <c r="F387">
        <f>MATCH(Sales!C387, Products!A:A, 0)</f>
        <v/>
      </c>
      <c r="G387">
        <f>OFFSET(Sales!E387,1,0)</f>
        <v/>
      </c>
      <c r="H387">
        <f>IF(AND(Sales!D387*Sales!E387&gt;5000, INDEX(Products!C:C, MATCH(Sales!C387, Products!A:A, 0))="Electronics"),"High Value","Normal")</f>
        <v/>
      </c>
    </row>
    <row r="388">
      <c r="A388">
        <f>Sales!A388</f>
        <v/>
      </c>
      <c r="B388">
        <f>VLOOKUP(Sales!C388,Products!A:E,2,FALSE)</f>
        <v/>
      </c>
      <c r="C388">
        <f>INDEX(Products!C:C, MATCH(Sales!C388, Products!A:A, 0))</f>
        <v/>
      </c>
      <c r="D388">
        <f>XLOOKUP(Sales!C388, Products!A:A, Products!D:D)</f>
        <v/>
      </c>
      <c r="E388">
        <f>Sales!D388*Sales!E388</f>
        <v/>
      </c>
      <c r="F388">
        <f>MATCH(Sales!C388, Products!A:A, 0)</f>
        <v/>
      </c>
      <c r="G388">
        <f>OFFSET(Sales!E388,1,0)</f>
        <v/>
      </c>
      <c r="H388">
        <f>IF(AND(Sales!D388*Sales!E388&gt;5000, INDEX(Products!C:C, MATCH(Sales!C388, Products!A:A, 0))="Electronics"),"High Value","Normal")</f>
        <v/>
      </c>
    </row>
    <row r="389">
      <c r="A389">
        <f>Sales!A389</f>
        <v/>
      </c>
      <c r="B389">
        <f>VLOOKUP(Sales!C389,Products!A:E,2,FALSE)</f>
        <v/>
      </c>
      <c r="C389">
        <f>INDEX(Products!C:C, MATCH(Sales!C389, Products!A:A, 0))</f>
        <v/>
      </c>
      <c r="D389">
        <f>XLOOKUP(Sales!C389, Products!A:A, Products!D:D)</f>
        <v/>
      </c>
      <c r="E389">
        <f>Sales!D389*Sales!E389</f>
        <v/>
      </c>
      <c r="F389">
        <f>MATCH(Sales!C389, Products!A:A, 0)</f>
        <v/>
      </c>
      <c r="G389">
        <f>OFFSET(Sales!E389,1,0)</f>
        <v/>
      </c>
      <c r="H389">
        <f>IF(AND(Sales!D389*Sales!E389&gt;5000, INDEX(Products!C:C, MATCH(Sales!C389, Products!A:A, 0))="Electronics"),"High Value","Normal")</f>
        <v/>
      </c>
    </row>
    <row r="390">
      <c r="A390">
        <f>Sales!A390</f>
        <v/>
      </c>
      <c r="B390">
        <f>VLOOKUP(Sales!C390,Products!A:E,2,FALSE)</f>
        <v/>
      </c>
      <c r="C390">
        <f>INDEX(Products!C:C, MATCH(Sales!C390, Products!A:A, 0))</f>
        <v/>
      </c>
      <c r="D390">
        <f>XLOOKUP(Sales!C390, Products!A:A, Products!D:D)</f>
        <v/>
      </c>
      <c r="E390">
        <f>Sales!D390*Sales!E390</f>
        <v/>
      </c>
      <c r="F390">
        <f>MATCH(Sales!C390, Products!A:A, 0)</f>
        <v/>
      </c>
      <c r="G390">
        <f>OFFSET(Sales!E390,1,0)</f>
        <v/>
      </c>
      <c r="H390">
        <f>IF(AND(Sales!D390*Sales!E390&gt;5000, INDEX(Products!C:C, MATCH(Sales!C390, Products!A:A, 0))="Electronics"),"High Value","Normal")</f>
        <v/>
      </c>
    </row>
    <row r="391">
      <c r="A391">
        <f>Sales!A391</f>
        <v/>
      </c>
      <c r="B391">
        <f>VLOOKUP(Sales!C391,Products!A:E,2,FALSE)</f>
        <v/>
      </c>
      <c r="C391">
        <f>INDEX(Products!C:C, MATCH(Sales!C391, Products!A:A, 0))</f>
        <v/>
      </c>
      <c r="D391">
        <f>XLOOKUP(Sales!C391, Products!A:A, Products!D:D)</f>
        <v/>
      </c>
      <c r="E391">
        <f>Sales!D391*Sales!E391</f>
        <v/>
      </c>
      <c r="F391">
        <f>MATCH(Sales!C391, Products!A:A, 0)</f>
        <v/>
      </c>
      <c r="G391">
        <f>OFFSET(Sales!E391,1,0)</f>
        <v/>
      </c>
      <c r="H391">
        <f>IF(AND(Sales!D391*Sales!E391&gt;5000, INDEX(Products!C:C, MATCH(Sales!C391, Products!A:A, 0))="Electronics"),"High Value","Normal")</f>
        <v/>
      </c>
    </row>
    <row r="392">
      <c r="A392">
        <f>Sales!A392</f>
        <v/>
      </c>
      <c r="B392">
        <f>VLOOKUP(Sales!C392,Products!A:E,2,FALSE)</f>
        <v/>
      </c>
      <c r="C392">
        <f>INDEX(Products!C:C, MATCH(Sales!C392, Products!A:A, 0))</f>
        <v/>
      </c>
      <c r="D392">
        <f>XLOOKUP(Sales!C392, Products!A:A, Products!D:D)</f>
        <v/>
      </c>
      <c r="E392">
        <f>Sales!D392*Sales!E392</f>
        <v/>
      </c>
      <c r="F392">
        <f>MATCH(Sales!C392, Products!A:A, 0)</f>
        <v/>
      </c>
      <c r="G392">
        <f>OFFSET(Sales!E392,1,0)</f>
        <v/>
      </c>
      <c r="H392">
        <f>IF(AND(Sales!D392*Sales!E392&gt;5000, INDEX(Products!C:C, MATCH(Sales!C392, Products!A:A, 0))="Electronics"),"High Value","Normal")</f>
        <v/>
      </c>
    </row>
    <row r="393">
      <c r="A393">
        <f>Sales!A393</f>
        <v/>
      </c>
      <c r="B393">
        <f>VLOOKUP(Sales!C393,Products!A:E,2,FALSE)</f>
        <v/>
      </c>
      <c r="C393">
        <f>INDEX(Products!C:C, MATCH(Sales!C393, Products!A:A, 0))</f>
        <v/>
      </c>
      <c r="D393">
        <f>XLOOKUP(Sales!C393, Products!A:A, Products!D:D)</f>
        <v/>
      </c>
      <c r="E393">
        <f>Sales!D393*Sales!E393</f>
        <v/>
      </c>
      <c r="F393">
        <f>MATCH(Sales!C393, Products!A:A, 0)</f>
        <v/>
      </c>
      <c r="G393">
        <f>OFFSET(Sales!E393,1,0)</f>
        <v/>
      </c>
      <c r="H393">
        <f>IF(AND(Sales!D393*Sales!E393&gt;5000, INDEX(Products!C:C, MATCH(Sales!C393, Products!A:A, 0))="Electronics"),"High Value","Normal")</f>
        <v/>
      </c>
    </row>
    <row r="394">
      <c r="A394">
        <f>Sales!A394</f>
        <v/>
      </c>
      <c r="B394">
        <f>VLOOKUP(Sales!C394,Products!A:E,2,FALSE)</f>
        <v/>
      </c>
      <c r="C394">
        <f>INDEX(Products!C:C, MATCH(Sales!C394, Products!A:A, 0))</f>
        <v/>
      </c>
      <c r="D394">
        <f>XLOOKUP(Sales!C394, Products!A:A, Products!D:D)</f>
        <v/>
      </c>
      <c r="E394">
        <f>Sales!D394*Sales!E394</f>
        <v/>
      </c>
      <c r="F394">
        <f>MATCH(Sales!C394, Products!A:A, 0)</f>
        <v/>
      </c>
      <c r="G394">
        <f>OFFSET(Sales!E394,1,0)</f>
        <v/>
      </c>
      <c r="H394">
        <f>IF(AND(Sales!D394*Sales!E394&gt;5000, INDEX(Products!C:C, MATCH(Sales!C394, Products!A:A, 0))="Electronics"),"High Value","Normal")</f>
        <v/>
      </c>
    </row>
    <row r="395">
      <c r="A395">
        <f>Sales!A395</f>
        <v/>
      </c>
      <c r="B395">
        <f>VLOOKUP(Sales!C395,Products!A:E,2,FALSE)</f>
        <v/>
      </c>
      <c r="C395">
        <f>INDEX(Products!C:C, MATCH(Sales!C395, Products!A:A, 0))</f>
        <v/>
      </c>
      <c r="D395">
        <f>XLOOKUP(Sales!C395, Products!A:A, Products!D:D)</f>
        <v/>
      </c>
      <c r="E395">
        <f>Sales!D395*Sales!E395</f>
        <v/>
      </c>
      <c r="F395">
        <f>MATCH(Sales!C395, Products!A:A, 0)</f>
        <v/>
      </c>
      <c r="G395">
        <f>OFFSET(Sales!E395,1,0)</f>
        <v/>
      </c>
      <c r="H395">
        <f>IF(AND(Sales!D395*Sales!E395&gt;5000, INDEX(Products!C:C, MATCH(Sales!C395, Products!A:A, 0))="Electronics"),"High Value","Normal")</f>
        <v/>
      </c>
    </row>
    <row r="396">
      <c r="A396">
        <f>Sales!A396</f>
        <v/>
      </c>
      <c r="B396">
        <f>VLOOKUP(Sales!C396,Products!A:E,2,FALSE)</f>
        <v/>
      </c>
      <c r="C396">
        <f>INDEX(Products!C:C, MATCH(Sales!C396, Products!A:A, 0))</f>
        <v/>
      </c>
      <c r="D396">
        <f>XLOOKUP(Sales!C396, Products!A:A, Products!D:D)</f>
        <v/>
      </c>
      <c r="E396">
        <f>Sales!D396*Sales!E396</f>
        <v/>
      </c>
      <c r="F396">
        <f>MATCH(Sales!C396, Products!A:A, 0)</f>
        <v/>
      </c>
      <c r="G396">
        <f>OFFSET(Sales!E396,1,0)</f>
        <v/>
      </c>
      <c r="H396">
        <f>IF(AND(Sales!D396*Sales!E396&gt;5000, INDEX(Products!C:C, MATCH(Sales!C396, Products!A:A, 0))="Electronics"),"High Value","Normal")</f>
        <v/>
      </c>
    </row>
    <row r="397">
      <c r="A397">
        <f>Sales!A397</f>
        <v/>
      </c>
      <c r="B397">
        <f>VLOOKUP(Sales!C397,Products!A:E,2,FALSE)</f>
        <v/>
      </c>
      <c r="C397">
        <f>INDEX(Products!C:C, MATCH(Sales!C397, Products!A:A, 0))</f>
        <v/>
      </c>
      <c r="D397">
        <f>XLOOKUP(Sales!C397, Products!A:A, Products!D:D)</f>
        <v/>
      </c>
      <c r="E397">
        <f>Sales!D397*Sales!E397</f>
        <v/>
      </c>
      <c r="F397">
        <f>MATCH(Sales!C397, Products!A:A, 0)</f>
        <v/>
      </c>
      <c r="G397">
        <f>OFFSET(Sales!E397,1,0)</f>
        <v/>
      </c>
      <c r="H397">
        <f>IF(AND(Sales!D397*Sales!E397&gt;5000, INDEX(Products!C:C, MATCH(Sales!C397, Products!A:A, 0))="Electronics"),"High Value","Normal")</f>
        <v/>
      </c>
    </row>
    <row r="398">
      <c r="A398">
        <f>Sales!A398</f>
        <v/>
      </c>
      <c r="B398">
        <f>VLOOKUP(Sales!C398,Products!A:E,2,FALSE)</f>
        <v/>
      </c>
      <c r="C398">
        <f>INDEX(Products!C:C, MATCH(Sales!C398, Products!A:A, 0))</f>
        <v/>
      </c>
      <c r="D398">
        <f>XLOOKUP(Sales!C398, Products!A:A, Products!D:D)</f>
        <v/>
      </c>
      <c r="E398">
        <f>Sales!D398*Sales!E398</f>
        <v/>
      </c>
      <c r="F398">
        <f>MATCH(Sales!C398, Products!A:A, 0)</f>
        <v/>
      </c>
      <c r="G398">
        <f>OFFSET(Sales!E398,1,0)</f>
        <v/>
      </c>
      <c r="H398">
        <f>IF(AND(Sales!D398*Sales!E398&gt;5000, INDEX(Products!C:C, MATCH(Sales!C398, Products!A:A, 0))="Electronics"),"High Value","Normal")</f>
        <v/>
      </c>
    </row>
    <row r="399">
      <c r="A399">
        <f>Sales!A399</f>
        <v/>
      </c>
      <c r="B399">
        <f>VLOOKUP(Sales!C399,Products!A:E,2,FALSE)</f>
        <v/>
      </c>
      <c r="C399">
        <f>INDEX(Products!C:C, MATCH(Sales!C399, Products!A:A, 0))</f>
        <v/>
      </c>
      <c r="D399">
        <f>XLOOKUP(Sales!C399, Products!A:A, Products!D:D)</f>
        <v/>
      </c>
      <c r="E399">
        <f>Sales!D399*Sales!E399</f>
        <v/>
      </c>
      <c r="F399">
        <f>MATCH(Sales!C399, Products!A:A, 0)</f>
        <v/>
      </c>
      <c r="G399">
        <f>OFFSET(Sales!E399,1,0)</f>
        <v/>
      </c>
      <c r="H399">
        <f>IF(AND(Sales!D399*Sales!E399&gt;5000, INDEX(Products!C:C, MATCH(Sales!C399, Products!A:A, 0))="Electronics"),"High Value","Normal")</f>
        <v/>
      </c>
    </row>
    <row r="400">
      <c r="A400">
        <f>Sales!A400</f>
        <v/>
      </c>
      <c r="B400">
        <f>VLOOKUP(Sales!C400,Products!A:E,2,FALSE)</f>
        <v/>
      </c>
      <c r="C400">
        <f>INDEX(Products!C:C, MATCH(Sales!C400, Products!A:A, 0))</f>
        <v/>
      </c>
      <c r="D400">
        <f>XLOOKUP(Sales!C400, Products!A:A, Products!D:D)</f>
        <v/>
      </c>
      <c r="E400">
        <f>Sales!D400*Sales!E400</f>
        <v/>
      </c>
      <c r="F400">
        <f>MATCH(Sales!C400, Products!A:A, 0)</f>
        <v/>
      </c>
      <c r="G400">
        <f>OFFSET(Sales!E400,1,0)</f>
        <v/>
      </c>
      <c r="H400">
        <f>IF(AND(Sales!D400*Sales!E400&gt;5000, INDEX(Products!C:C, MATCH(Sales!C400, Products!A:A, 0))="Electronics"),"High Value","Normal")</f>
        <v/>
      </c>
    </row>
    <row r="401">
      <c r="A401">
        <f>Sales!A401</f>
        <v/>
      </c>
      <c r="B401">
        <f>VLOOKUP(Sales!C401,Products!A:E,2,FALSE)</f>
        <v/>
      </c>
      <c r="C401">
        <f>INDEX(Products!C:C, MATCH(Sales!C401, Products!A:A, 0))</f>
        <v/>
      </c>
      <c r="D401">
        <f>XLOOKUP(Sales!C401, Products!A:A, Products!D:D)</f>
        <v/>
      </c>
      <c r="E401">
        <f>Sales!D401*Sales!E401</f>
        <v/>
      </c>
      <c r="F401">
        <f>MATCH(Sales!C401, Products!A:A, 0)</f>
        <v/>
      </c>
      <c r="G401">
        <f>OFFSET(Sales!E401,1,0)</f>
        <v/>
      </c>
      <c r="H401">
        <f>IF(AND(Sales!D401*Sales!E401&gt;5000, INDEX(Products!C:C, MATCH(Sales!C401, Products!A:A, 0))="Electronics"),"High Value","Normal")</f>
        <v/>
      </c>
    </row>
    <row r="402">
      <c r="A402">
        <f>Sales!A402</f>
        <v/>
      </c>
      <c r="B402">
        <f>VLOOKUP(Sales!C402,Products!A:E,2,FALSE)</f>
        <v/>
      </c>
      <c r="C402">
        <f>INDEX(Products!C:C, MATCH(Sales!C402, Products!A:A, 0))</f>
        <v/>
      </c>
      <c r="D402">
        <f>XLOOKUP(Sales!C402, Products!A:A, Products!D:D)</f>
        <v/>
      </c>
      <c r="E402">
        <f>Sales!D402*Sales!E402</f>
        <v/>
      </c>
      <c r="F402">
        <f>MATCH(Sales!C402, Products!A:A, 0)</f>
        <v/>
      </c>
      <c r="G402">
        <f>OFFSET(Sales!E402,1,0)</f>
        <v/>
      </c>
      <c r="H402">
        <f>IF(AND(Sales!D402*Sales!E402&gt;5000, INDEX(Products!C:C, MATCH(Sales!C402, Products!A:A, 0))="Electronics"),"High Value","Normal")</f>
        <v/>
      </c>
    </row>
    <row r="403">
      <c r="A403">
        <f>Sales!A403</f>
        <v/>
      </c>
      <c r="B403">
        <f>VLOOKUP(Sales!C403,Products!A:E,2,FALSE)</f>
        <v/>
      </c>
      <c r="C403">
        <f>INDEX(Products!C:C, MATCH(Sales!C403, Products!A:A, 0))</f>
        <v/>
      </c>
      <c r="D403">
        <f>XLOOKUP(Sales!C403, Products!A:A, Products!D:D)</f>
        <v/>
      </c>
      <c r="E403">
        <f>Sales!D403*Sales!E403</f>
        <v/>
      </c>
      <c r="F403">
        <f>MATCH(Sales!C403, Products!A:A, 0)</f>
        <v/>
      </c>
      <c r="G403">
        <f>OFFSET(Sales!E403,1,0)</f>
        <v/>
      </c>
      <c r="H403">
        <f>IF(AND(Sales!D403*Sales!E403&gt;5000, INDEX(Products!C:C, MATCH(Sales!C403, Products!A:A, 0))="Electronics"),"High Value","Normal")</f>
        <v/>
      </c>
    </row>
    <row r="404">
      <c r="A404">
        <f>Sales!A404</f>
        <v/>
      </c>
      <c r="B404">
        <f>VLOOKUP(Sales!C404,Products!A:E,2,FALSE)</f>
        <v/>
      </c>
      <c r="C404">
        <f>INDEX(Products!C:C, MATCH(Sales!C404, Products!A:A, 0))</f>
        <v/>
      </c>
      <c r="D404">
        <f>XLOOKUP(Sales!C404, Products!A:A, Products!D:D)</f>
        <v/>
      </c>
      <c r="E404">
        <f>Sales!D404*Sales!E404</f>
        <v/>
      </c>
      <c r="F404">
        <f>MATCH(Sales!C404, Products!A:A, 0)</f>
        <v/>
      </c>
      <c r="G404">
        <f>OFFSET(Sales!E404,1,0)</f>
        <v/>
      </c>
      <c r="H404">
        <f>IF(AND(Sales!D404*Sales!E404&gt;5000, INDEX(Products!C:C, MATCH(Sales!C404, Products!A:A, 0))="Electronics"),"High Value","Normal")</f>
        <v/>
      </c>
    </row>
    <row r="405">
      <c r="A405">
        <f>Sales!A405</f>
        <v/>
      </c>
      <c r="B405">
        <f>VLOOKUP(Sales!C405,Products!A:E,2,FALSE)</f>
        <v/>
      </c>
      <c r="C405">
        <f>INDEX(Products!C:C, MATCH(Sales!C405, Products!A:A, 0))</f>
        <v/>
      </c>
      <c r="D405">
        <f>XLOOKUP(Sales!C405, Products!A:A, Products!D:D)</f>
        <v/>
      </c>
      <c r="E405">
        <f>Sales!D405*Sales!E405</f>
        <v/>
      </c>
      <c r="F405">
        <f>MATCH(Sales!C405, Products!A:A, 0)</f>
        <v/>
      </c>
      <c r="G405">
        <f>OFFSET(Sales!E405,1,0)</f>
        <v/>
      </c>
      <c r="H405">
        <f>IF(AND(Sales!D405*Sales!E405&gt;5000, INDEX(Products!C:C, MATCH(Sales!C405, Products!A:A, 0))="Electronics"),"High Value","Normal")</f>
        <v/>
      </c>
    </row>
    <row r="406">
      <c r="A406">
        <f>Sales!A406</f>
        <v/>
      </c>
      <c r="B406">
        <f>VLOOKUP(Sales!C406,Products!A:E,2,FALSE)</f>
        <v/>
      </c>
      <c r="C406">
        <f>INDEX(Products!C:C, MATCH(Sales!C406, Products!A:A, 0))</f>
        <v/>
      </c>
      <c r="D406">
        <f>XLOOKUP(Sales!C406, Products!A:A, Products!D:D)</f>
        <v/>
      </c>
      <c r="E406">
        <f>Sales!D406*Sales!E406</f>
        <v/>
      </c>
      <c r="F406">
        <f>MATCH(Sales!C406, Products!A:A, 0)</f>
        <v/>
      </c>
      <c r="G406">
        <f>OFFSET(Sales!E406,1,0)</f>
        <v/>
      </c>
      <c r="H406">
        <f>IF(AND(Sales!D406*Sales!E406&gt;5000, INDEX(Products!C:C, MATCH(Sales!C406, Products!A:A, 0))="Electronics"),"High Value","Normal")</f>
        <v/>
      </c>
    </row>
    <row r="407">
      <c r="A407">
        <f>Sales!A407</f>
        <v/>
      </c>
      <c r="B407">
        <f>VLOOKUP(Sales!C407,Products!A:E,2,FALSE)</f>
        <v/>
      </c>
      <c r="C407">
        <f>INDEX(Products!C:C, MATCH(Sales!C407, Products!A:A, 0))</f>
        <v/>
      </c>
      <c r="D407">
        <f>XLOOKUP(Sales!C407, Products!A:A, Products!D:D)</f>
        <v/>
      </c>
      <c r="E407">
        <f>Sales!D407*Sales!E407</f>
        <v/>
      </c>
      <c r="F407">
        <f>MATCH(Sales!C407, Products!A:A, 0)</f>
        <v/>
      </c>
      <c r="G407">
        <f>OFFSET(Sales!E407,1,0)</f>
        <v/>
      </c>
      <c r="H407">
        <f>IF(AND(Sales!D407*Sales!E407&gt;5000, INDEX(Products!C:C, MATCH(Sales!C407, Products!A:A, 0))="Electronics"),"High Value","Normal")</f>
        <v/>
      </c>
    </row>
    <row r="408">
      <c r="A408">
        <f>Sales!A408</f>
        <v/>
      </c>
      <c r="B408">
        <f>VLOOKUP(Sales!C408,Products!A:E,2,FALSE)</f>
        <v/>
      </c>
      <c r="C408">
        <f>INDEX(Products!C:C, MATCH(Sales!C408, Products!A:A, 0))</f>
        <v/>
      </c>
      <c r="D408">
        <f>XLOOKUP(Sales!C408, Products!A:A, Products!D:D)</f>
        <v/>
      </c>
      <c r="E408">
        <f>Sales!D408*Sales!E408</f>
        <v/>
      </c>
      <c r="F408">
        <f>MATCH(Sales!C408, Products!A:A, 0)</f>
        <v/>
      </c>
      <c r="G408">
        <f>OFFSET(Sales!E408,1,0)</f>
        <v/>
      </c>
      <c r="H408">
        <f>IF(AND(Sales!D408*Sales!E408&gt;5000, INDEX(Products!C:C, MATCH(Sales!C408, Products!A:A, 0))="Electronics"),"High Value","Normal")</f>
        <v/>
      </c>
    </row>
    <row r="409">
      <c r="A409">
        <f>Sales!A409</f>
        <v/>
      </c>
      <c r="B409">
        <f>VLOOKUP(Sales!C409,Products!A:E,2,FALSE)</f>
        <v/>
      </c>
      <c r="C409">
        <f>INDEX(Products!C:C, MATCH(Sales!C409, Products!A:A, 0))</f>
        <v/>
      </c>
      <c r="D409">
        <f>XLOOKUP(Sales!C409, Products!A:A, Products!D:D)</f>
        <v/>
      </c>
      <c r="E409">
        <f>Sales!D409*Sales!E409</f>
        <v/>
      </c>
      <c r="F409">
        <f>MATCH(Sales!C409, Products!A:A, 0)</f>
        <v/>
      </c>
      <c r="G409">
        <f>OFFSET(Sales!E409,1,0)</f>
        <v/>
      </c>
      <c r="H409">
        <f>IF(AND(Sales!D409*Sales!E409&gt;5000, INDEX(Products!C:C, MATCH(Sales!C409, Products!A:A, 0))="Electronics"),"High Value","Normal")</f>
        <v/>
      </c>
    </row>
    <row r="410">
      <c r="A410">
        <f>Sales!A410</f>
        <v/>
      </c>
      <c r="B410">
        <f>VLOOKUP(Sales!C410,Products!A:E,2,FALSE)</f>
        <v/>
      </c>
      <c r="C410">
        <f>INDEX(Products!C:C, MATCH(Sales!C410, Products!A:A, 0))</f>
        <v/>
      </c>
      <c r="D410">
        <f>XLOOKUP(Sales!C410, Products!A:A, Products!D:D)</f>
        <v/>
      </c>
      <c r="E410">
        <f>Sales!D410*Sales!E410</f>
        <v/>
      </c>
      <c r="F410">
        <f>MATCH(Sales!C410, Products!A:A, 0)</f>
        <v/>
      </c>
      <c r="G410">
        <f>OFFSET(Sales!E410,1,0)</f>
        <v/>
      </c>
      <c r="H410">
        <f>IF(AND(Sales!D410*Sales!E410&gt;5000, INDEX(Products!C:C, MATCH(Sales!C410, Products!A:A, 0))="Electronics"),"High Value","Normal")</f>
        <v/>
      </c>
    </row>
    <row r="411">
      <c r="A411">
        <f>Sales!A411</f>
        <v/>
      </c>
      <c r="B411">
        <f>VLOOKUP(Sales!C411,Products!A:E,2,FALSE)</f>
        <v/>
      </c>
      <c r="C411">
        <f>INDEX(Products!C:C, MATCH(Sales!C411, Products!A:A, 0))</f>
        <v/>
      </c>
      <c r="D411">
        <f>XLOOKUP(Sales!C411, Products!A:A, Products!D:D)</f>
        <v/>
      </c>
      <c r="E411">
        <f>Sales!D411*Sales!E411</f>
        <v/>
      </c>
      <c r="F411">
        <f>MATCH(Sales!C411, Products!A:A, 0)</f>
        <v/>
      </c>
      <c r="G411">
        <f>OFFSET(Sales!E411,1,0)</f>
        <v/>
      </c>
      <c r="H411">
        <f>IF(AND(Sales!D411*Sales!E411&gt;5000, INDEX(Products!C:C, MATCH(Sales!C411, Products!A:A, 0))="Electronics"),"High Value","Normal")</f>
        <v/>
      </c>
    </row>
    <row r="412">
      <c r="A412">
        <f>Sales!A412</f>
        <v/>
      </c>
      <c r="B412">
        <f>VLOOKUP(Sales!C412,Products!A:E,2,FALSE)</f>
        <v/>
      </c>
      <c r="C412">
        <f>INDEX(Products!C:C, MATCH(Sales!C412, Products!A:A, 0))</f>
        <v/>
      </c>
      <c r="D412">
        <f>XLOOKUP(Sales!C412, Products!A:A, Products!D:D)</f>
        <v/>
      </c>
      <c r="E412">
        <f>Sales!D412*Sales!E412</f>
        <v/>
      </c>
      <c r="F412">
        <f>MATCH(Sales!C412, Products!A:A, 0)</f>
        <v/>
      </c>
      <c r="G412">
        <f>OFFSET(Sales!E412,1,0)</f>
        <v/>
      </c>
      <c r="H412">
        <f>IF(AND(Sales!D412*Sales!E412&gt;5000, INDEX(Products!C:C, MATCH(Sales!C412, Products!A:A, 0))="Electronics"),"High Value","Normal")</f>
        <v/>
      </c>
    </row>
    <row r="413">
      <c r="A413">
        <f>Sales!A413</f>
        <v/>
      </c>
      <c r="B413">
        <f>VLOOKUP(Sales!C413,Products!A:E,2,FALSE)</f>
        <v/>
      </c>
      <c r="C413">
        <f>INDEX(Products!C:C, MATCH(Sales!C413, Products!A:A, 0))</f>
        <v/>
      </c>
      <c r="D413">
        <f>XLOOKUP(Sales!C413, Products!A:A, Products!D:D)</f>
        <v/>
      </c>
      <c r="E413">
        <f>Sales!D413*Sales!E413</f>
        <v/>
      </c>
      <c r="F413">
        <f>MATCH(Sales!C413, Products!A:A, 0)</f>
        <v/>
      </c>
      <c r="G413">
        <f>OFFSET(Sales!E413,1,0)</f>
        <v/>
      </c>
      <c r="H413">
        <f>IF(AND(Sales!D413*Sales!E413&gt;5000, INDEX(Products!C:C, MATCH(Sales!C413, Products!A:A, 0))="Electronics"),"High Value","Normal")</f>
        <v/>
      </c>
    </row>
    <row r="414">
      <c r="A414">
        <f>Sales!A414</f>
        <v/>
      </c>
      <c r="B414">
        <f>VLOOKUP(Sales!C414,Products!A:E,2,FALSE)</f>
        <v/>
      </c>
      <c r="C414">
        <f>INDEX(Products!C:C, MATCH(Sales!C414, Products!A:A, 0))</f>
        <v/>
      </c>
      <c r="D414">
        <f>XLOOKUP(Sales!C414, Products!A:A, Products!D:D)</f>
        <v/>
      </c>
      <c r="E414">
        <f>Sales!D414*Sales!E414</f>
        <v/>
      </c>
      <c r="F414">
        <f>MATCH(Sales!C414, Products!A:A, 0)</f>
        <v/>
      </c>
      <c r="G414">
        <f>OFFSET(Sales!E414,1,0)</f>
        <v/>
      </c>
      <c r="H414">
        <f>IF(AND(Sales!D414*Sales!E414&gt;5000, INDEX(Products!C:C, MATCH(Sales!C414, Products!A:A, 0))="Electronics"),"High Value","Normal")</f>
        <v/>
      </c>
    </row>
    <row r="415">
      <c r="A415">
        <f>Sales!A415</f>
        <v/>
      </c>
      <c r="B415">
        <f>VLOOKUP(Sales!C415,Products!A:E,2,FALSE)</f>
        <v/>
      </c>
      <c r="C415">
        <f>INDEX(Products!C:C, MATCH(Sales!C415, Products!A:A, 0))</f>
        <v/>
      </c>
      <c r="D415">
        <f>XLOOKUP(Sales!C415, Products!A:A, Products!D:D)</f>
        <v/>
      </c>
      <c r="E415">
        <f>Sales!D415*Sales!E415</f>
        <v/>
      </c>
      <c r="F415">
        <f>MATCH(Sales!C415, Products!A:A, 0)</f>
        <v/>
      </c>
      <c r="G415">
        <f>OFFSET(Sales!E415,1,0)</f>
        <v/>
      </c>
      <c r="H415">
        <f>IF(AND(Sales!D415*Sales!E415&gt;5000, INDEX(Products!C:C, MATCH(Sales!C415, Products!A:A, 0))="Electronics"),"High Value","Normal")</f>
        <v/>
      </c>
    </row>
    <row r="416">
      <c r="A416">
        <f>Sales!A416</f>
        <v/>
      </c>
      <c r="B416">
        <f>VLOOKUP(Sales!C416,Products!A:E,2,FALSE)</f>
        <v/>
      </c>
      <c r="C416">
        <f>INDEX(Products!C:C, MATCH(Sales!C416, Products!A:A, 0))</f>
        <v/>
      </c>
      <c r="D416">
        <f>XLOOKUP(Sales!C416, Products!A:A, Products!D:D)</f>
        <v/>
      </c>
      <c r="E416">
        <f>Sales!D416*Sales!E416</f>
        <v/>
      </c>
      <c r="F416">
        <f>MATCH(Sales!C416, Products!A:A, 0)</f>
        <v/>
      </c>
      <c r="G416">
        <f>OFFSET(Sales!E416,1,0)</f>
        <v/>
      </c>
      <c r="H416">
        <f>IF(AND(Sales!D416*Sales!E416&gt;5000, INDEX(Products!C:C, MATCH(Sales!C416, Products!A:A, 0))="Electronics"),"High Value","Normal")</f>
        <v/>
      </c>
    </row>
    <row r="417">
      <c r="A417">
        <f>Sales!A417</f>
        <v/>
      </c>
      <c r="B417">
        <f>VLOOKUP(Sales!C417,Products!A:E,2,FALSE)</f>
        <v/>
      </c>
      <c r="C417">
        <f>INDEX(Products!C:C, MATCH(Sales!C417, Products!A:A, 0))</f>
        <v/>
      </c>
      <c r="D417">
        <f>XLOOKUP(Sales!C417, Products!A:A, Products!D:D)</f>
        <v/>
      </c>
      <c r="E417">
        <f>Sales!D417*Sales!E417</f>
        <v/>
      </c>
      <c r="F417">
        <f>MATCH(Sales!C417, Products!A:A, 0)</f>
        <v/>
      </c>
      <c r="G417">
        <f>OFFSET(Sales!E417,1,0)</f>
        <v/>
      </c>
      <c r="H417">
        <f>IF(AND(Sales!D417*Sales!E417&gt;5000, INDEX(Products!C:C, MATCH(Sales!C417, Products!A:A, 0))="Electronics"),"High Value","Normal")</f>
        <v/>
      </c>
    </row>
    <row r="418">
      <c r="A418">
        <f>Sales!A418</f>
        <v/>
      </c>
      <c r="B418">
        <f>VLOOKUP(Sales!C418,Products!A:E,2,FALSE)</f>
        <v/>
      </c>
      <c r="C418">
        <f>INDEX(Products!C:C, MATCH(Sales!C418, Products!A:A, 0))</f>
        <v/>
      </c>
      <c r="D418">
        <f>XLOOKUP(Sales!C418, Products!A:A, Products!D:D)</f>
        <v/>
      </c>
      <c r="E418">
        <f>Sales!D418*Sales!E418</f>
        <v/>
      </c>
      <c r="F418">
        <f>MATCH(Sales!C418, Products!A:A, 0)</f>
        <v/>
      </c>
      <c r="G418">
        <f>OFFSET(Sales!E418,1,0)</f>
        <v/>
      </c>
      <c r="H418">
        <f>IF(AND(Sales!D418*Sales!E418&gt;5000, INDEX(Products!C:C, MATCH(Sales!C418, Products!A:A, 0))="Electronics"),"High Value","Normal")</f>
        <v/>
      </c>
    </row>
    <row r="419">
      <c r="A419">
        <f>Sales!A419</f>
        <v/>
      </c>
      <c r="B419">
        <f>VLOOKUP(Sales!C419,Products!A:E,2,FALSE)</f>
        <v/>
      </c>
      <c r="C419">
        <f>INDEX(Products!C:C, MATCH(Sales!C419, Products!A:A, 0))</f>
        <v/>
      </c>
      <c r="D419">
        <f>XLOOKUP(Sales!C419, Products!A:A, Products!D:D)</f>
        <v/>
      </c>
      <c r="E419">
        <f>Sales!D419*Sales!E419</f>
        <v/>
      </c>
      <c r="F419">
        <f>MATCH(Sales!C419, Products!A:A, 0)</f>
        <v/>
      </c>
      <c r="G419">
        <f>OFFSET(Sales!E419,1,0)</f>
        <v/>
      </c>
      <c r="H419">
        <f>IF(AND(Sales!D419*Sales!E419&gt;5000, INDEX(Products!C:C, MATCH(Sales!C419, Products!A:A, 0))="Electronics"),"High Value","Normal")</f>
        <v/>
      </c>
    </row>
    <row r="420">
      <c r="A420">
        <f>Sales!A420</f>
        <v/>
      </c>
      <c r="B420">
        <f>VLOOKUP(Sales!C420,Products!A:E,2,FALSE)</f>
        <v/>
      </c>
      <c r="C420">
        <f>INDEX(Products!C:C, MATCH(Sales!C420, Products!A:A, 0))</f>
        <v/>
      </c>
      <c r="D420">
        <f>XLOOKUP(Sales!C420, Products!A:A, Products!D:D)</f>
        <v/>
      </c>
      <c r="E420">
        <f>Sales!D420*Sales!E420</f>
        <v/>
      </c>
      <c r="F420">
        <f>MATCH(Sales!C420, Products!A:A, 0)</f>
        <v/>
      </c>
      <c r="G420">
        <f>OFFSET(Sales!E420,1,0)</f>
        <v/>
      </c>
      <c r="H420">
        <f>IF(AND(Sales!D420*Sales!E420&gt;5000, INDEX(Products!C:C, MATCH(Sales!C420, Products!A:A, 0))="Electronics"),"High Value","Normal")</f>
        <v/>
      </c>
    </row>
    <row r="421">
      <c r="A421">
        <f>Sales!A421</f>
        <v/>
      </c>
      <c r="B421">
        <f>VLOOKUP(Sales!C421,Products!A:E,2,FALSE)</f>
        <v/>
      </c>
      <c r="C421">
        <f>INDEX(Products!C:C, MATCH(Sales!C421, Products!A:A, 0))</f>
        <v/>
      </c>
      <c r="D421">
        <f>XLOOKUP(Sales!C421, Products!A:A, Products!D:D)</f>
        <v/>
      </c>
      <c r="E421">
        <f>Sales!D421*Sales!E421</f>
        <v/>
      </c>
      <c r="F421">
        <f>MATCH(Sales!C421, Products!A:A, 0)</f>
        <v/>
      </c>
      <c r="G421">
        <f>OFFSET(Sales!E421,1,0)</f>
        <v/>
      </c>
      <c r="H421">
        <f>IF(AND(Sales!D421*Sales!E421&gt;5000, INDEX(Products!C:C, MATCH(Sales!C421, Products!A:A, 0))="Electronics"),"High Value","Normal")</f>
        <v/>
      </c>
    </row>
    <row r="422">
      <c r="A422">
        <f>Sales!A422</f>
        <v/>
      </c>
      <c r="B422">
        <f>VLOOKUP(Sales!C422,Products!A:E,2,FALSE)</f>
        <v/>
      </c>
      <c r="C422">
        <f>INDEX(Products!C:C, MATCH(Sales!C422, Products!A:A, 0))</f>
        <v/>
      </c>
      <c r="D422">
        <f>XLOOKUP(Sales!C422, Products!A:A, Products!D:D)</f>
        <v/>
      </c>
      <c r="E422">
        <f>Sales!D422*Sales!E422</f>
        <v/>
      </c>
      <c r="F422">
        <f>MATCH(Sales!C422, Products!A:A, 0)</f>
        <v/>
      </c>
      <c r="G422">
        <f>OFFSET(Sales!E422,1,0)</f>
        <v/>
      </c>
      <c r="H422">
        <f>IF(AND(Sales!D422*Sales!E422&gt;5000, INDEX(Products!C:C, MATCH(Sales!C422, Products!A:A, 0))="Electronics"),"High Value","Normal")</f>
        <v/>
      </c>
    </row>
    <row r="423">
      <c r="A423">
        <f>Sales!A423</f>
        <v/>
      </c>
      <c r="B423">
        <f>VLOOKUP(Sales!C423,Products!A:E,2,FALSE)</f>
        <v/>
      </c>
      <c r="C423">
        <f>INDEX(Products!C:C, MATCH(Sales!C423, Products!A:A, 0))</f>
        <v/>
      </c>
      <c r="D423">
        <f>XLOOKUP(Sales!C423, Products!A:A, Products!D:D)</f>
        <v/>
      </c>
      <c r="E423">
        <f>Sales!D423*Sales!E423</f>
        <v/>
      </c>
      <c r="F423">
        <f>MATCH(Sales!C423, Products!A:A, 0)</f>
        <v/>
      </c>
      <c r="G423">
        <f>OFFSET(Sales!E423,1,0)</f>
        <v/>
      </c>
      <c r="H423">
        <f>IF(AND(Sales!D423*Sales!E423&gt;5000, INDEX(Products!C:C, MATCH(Sales!C423, Products!A:A, 0))="Electronics"),"High Value","Normal")</f>
        <v/>
      </c>
    </row>
    <row r="424">
      <c r="A424">
        <f>Sales!A424</f>
        <v/>
      </c>
      <c r="B424">
        <f>VLOOKUP(Sales!C424,Products!A:E,2,FALSE)</f>
        <v/>
      </c>
      <c r="C424">
        <f>INDEX(Products!C:C, MATCH(Sales!C424, Products!A:A, 0))</f>
        <v/>
      </c>
      <c r="D424">
        <f>XLOOKUP(Sales!C424, Products!A:A, Products!D:D)</f>
        <v/>
      </c>
      <c r="E424">
        <f>Sales!D424*Sales!E424</f>
        <v/>
      </c>
      <c r="F424">
        <f>MATCH(Sales!C424, Products!A:A, 0)</f>
        <v/>
      </c>
      <c r="G424">
        <f>OFFSET(Sales!E424,1,0)</f>
        <v/>
      </c>
      <c r="H424">
        <f>IF(AND(Sales!D424*Sales!E424&gt;5000, INDEX(Products!C:C, MATCH(Sales!C424, Products!A:A, 0))="Electronics"),"High Value","Normal")</f>
        <v/>
      </c>
    </row>
    <row r="425">
      <c r="A425">
        <f>Sales!A425</f>
        <v/>
      </c>
      <c r="B425">
        <f>VLOOKUP(Sales!C425,Products!A:E,2,FALSE)</f>
        <v/>
      </c>
      <c r="C425">
        <f>INDEX(Products!C:C, MATCH(Sales!C425, Products!A:A, 0))</f>
        <v/>
      </c>
      <c r="D425">
        <f>XLOOKUP(Sales!C425, Products!A:A, Products!D:D)</f>
        <v/>
      </c>
      <c r="E425">
        <f>Sales!D425*Sales!E425</f>
        <v/>
      </c>
      <c r="F425">
        <f>MATCH(Sales!C425, Products!A:A, 0)</f>
        <v/>
      </c>
      <c r="G425">
        <f>OFFSET(Sales!E425,1,0)</f>
        <v/>
      </c>
      <c r="H425">
        <f>IF(AND(Sales!D425*Sales!E425&gt;5000, INDEX(Products!C:C, MATCH(Sales!C425, Products!A:A, 0))="Electronics"),"High Value","Normal")</f>
        <v/>
      </c>
    </row>
    <row r="426">
      <c r="A426">
        <f>Sales!A426</f>
        <v/>
      </c>
      <c r="B426">
        <f>VLOOKUP(Sales!C426,Products!A:E,2,FALSE)</f>
        <v/>
      </c>
      <c r="C426">
        <f>INDEX(Products!C:C, MATCH(Sales!C426, Products!A:A, 0))</f>
        <v/>
      </c>
      <c r="D426">
        <f>XLOOKUP(Sales!C426, Products!A:A, Products!D:D)</f>
        <v/>
      </c>
      <c r="E426">
        <f>Sales!D426*Sales!E426</f>
        <v/>
      </c>
      <c r="F426">
        <f>MATCH(Sales!C426, Products!A:A, 0)</f>
        <v/>
      </c>
      <c r="G426">
        <f>OFFSET(Sales!E426,1,0)</f>
        <v/>
      </c>
      <c r="H426">
        <f>IF(AND(Sales!D426*Sales!E426&gt;5000, INDEX(Products!C:C, MATCH(Sales!C426, Products!A:A, 0))="Electronics"),"High Value","Normal")</f>
        <v/>
      </c>
    </row>
    <row r="427">
      <c r="A427">
        <f>Sales!A427</f>
        <v/>
      </c>
      <c r="B427">
        <f>VLOOKUP(Sales!C427,Products!A:E,2,FALSE)</f>
        <v/>
      </c>
      <c r="C427">
        <f>INDEX(Products!C:C, MATCH(Sales!C427, Products!A:A, 0))</f>
        <v/>
      </c>
      <c r="D427">
        <f>XLOOKUP(Sales!C427, Products!A:A, Products!D:D)</f>
        <v/>
      </c>
      <c r="E427">
        <f>Sales!D427*Sales!E427</f>
        <v/>
      </c>
      <c r="F427">
        <f>MATCH(Sales!C427, Products!A:A, 0)</f>
        <v/>
      </c>
      <c r="G427">
        <f>OFFSET(Sales!E427,1,0)</f>
        <v/>
      </c>
      <c r="H427">
        <f>IF(AND(Sales!D427*Sales!E427&gt;5000, INDEX(Products!C:C, MATCH(Sales!C427, Products!A:A, 0))="Electronics"),"High Value","Normal")</f>
        <v/>
      </c>
    </row>
    <row r="428">
      <c r="A428">
        <f>Sales!A428</f>
        <v/>
      </c>
      <c r="B428">
        <f>VLOOKUP(Sales!C428,Products!A:E,2,FALSE)</f>
        <v/>
      </c>
      <c r="C428">
        <f>INDEX(Products!C:C, MATCH(Sales!C428, Products!A:A, 0))</f>
        <v/>
      </c>
      <c r="D428">
        <f>XLOOKUP(Sales!C428, Products!A:A, Products!D:D)</f>
        <v/>
      </c>
      <c r="E428">
        <f>Sales!D428*Sales!E428</f>
        <v/>
      </c>
      <c r="F428">
        <f>MATCH(Sales!C428, Products!A:A, 0)</f>
        <v/>
      </c>
      <c r="G428">
        <f>OFFSET(Sales!E428,1,0)</f>
        <v/>
      </c>
      <c r="H428">
        <f>IF(AND(Sales!D428*Sales!E428&gt;5000, INDEX(Products!C:C, MATCH(Sales!C428, Products!A:A, 0))="Electronics"),"High Value","Normal")</f>
        <v/>
      </c>
    </row>
    <row r="429">
      <c r="A429">
        <f>Sales!A429</f>
        <v/>
      </c>
      <c r="B429">
        <f>VLOOKUP(Sales!C429,Products!A:E,2,FALSE)</f>
        <v/>
      </c>
      <c r="C429">
        <f>INDEX(Products!C:C, MATCH(Sales!C429, Products!A:A, 0))</f>
        <v/>
      </c>
      <c r="D429">
        <f>XLOOKUP(Sales!C429, Products!A:A, Products!D:D)</f>
        <v/>
      </c>
      <c r="E429">
        <f>Sales!D429*Sales!E429</f>
        <v/>
      </c>
      <c r="F429">
        <f>MATCH(Sales!C429, Products!A:A, 0)</f>
        <v/>
      </c>
      <c r="G429">
        <f>OFFSET(Sales!E429,1,0)</f>
        <v/>
      </c>
      <c r="H429">
        <f>IF(AND(Sales!D429*Sales!E429&gt;5000, INDEX(Products!C:C, MATCH(Sales!C429, Products!A:A, 0))="Electronics"),"High Value","Normal")</f>
        <v/>
      </c>
    </row>
    <row r="430">
      <c r="A430">
        <f>Sales!A430</f>
        <v/>
      </c>
      <c r="B430">
        <f>VLOOKUP(Sales!C430,Products!A:E,2,FALSE)</f>
        <v/>
      </c>
      <c r="C430">
        <f>INDEX(Products!C:C, MATCH(Sales!C430, Products!A:A, 0))</f>
        <v/>
      </c>
      <c r="D430">
        <f>XLOOKUP(Sales!C430, Products!A:A, Products!D:D)</f>
        <v/>
      </c>
      <c r="E430">
        <f>Sales!D430*Sales!E430</f>
        <v/>
      </c>
      <c r="F430">
        <f>MATCH(Sales!C430, Products!A:A, 0)</f>
        <v/>
      </c>
      <c r="G430">
        <f>OFFSET(Sales!E430,1,0)</f>
        <v/>
      </c>
      <c r="H430">
        <f>IF(AND(Sales!D430*Sales!E430&gt;5000, INDEX(Products!C:C, MATCH(Sales!C430, Products!A:A, 0))="Electronics"),"High Value","Normal")</f>
        <v/>
      </c>
    </row>
    <row r="431">
      <c r="A431">
        <f>Sales!A431</f>
        <v/>
      </c>
      <c r="B431">
        <f>VLOOKUP(Sales!C431,Products!A:E,2,FALSE)</f>
        <v/>
      </c>
      <c r="C431">
        <f>INDEX(Products!C:C, MATCH(Sales!C431, Products!A:A, 0))</f>
        <v/>
      </c>
      <c r="D431">
        <f>XLOOKUP(Sales!C431, Products!A:A, Products!D:D)</f>
        <v/>
      </c>
      <c r="E431">
        <f>Sales!D431*Sales!E431</f>
        <v/>
      </c>
      <c r="F431">
        <f>MATCH(Sales!C431, Products!A:A, 0)</f>
        <v/>
      </c>
      <c r="G431">
        <f>OFFSET(Sales!E431,1,0)</f>
        <v/>
      </c>
      <c r="H431">
        <f>IF(AND(Sales!D431*Sales!E431&gt;5000, INDEX(Products!C:C, MATCH(Sales!C431, Products!A:A, 0))="Electronics"),"High Value","Normal")</f>
        <v/>
      </c>
    </row>
    <row r="432">
      <c r="A432">
        <f>Sales!A432</f>
        <v/>
      </c>
      <c r="B432">
        <f>VLOOKUP(Sales!C432,Products!A:E,2,FALSE)</f>
        <v/>
      </c>
      <c r="C432">
        <f>INDEX(Products!C:C, MATCH(Sales!C432, Products!A:A, 0))</f>
        <v/>
      </c>
      <c r="D432">
        <f>XLOOKUP(Sales!C432, Products!A:A, Products!D:D)</f>
        <v/>
      </c>
      <c r="E432">
        <f>Sales!D432*Sales!E432</f>
        <v/>
      </c>
      <c r="F432">
        <f>MATCH(Sales!C432, Products!A:A, 0)</f>
        <v/>
      </c>
      <c r="G432">
        <f>OFFSET(Sales!E432,1,0)</f>
        <v/>
      </c>
      <c r="H432">
        <f>IF(AND(Sales!D432*Sales!E432&gt;5000, INDEX(Products!C:C, MATCH(Sales!C432, Products!A:A, 0))="Electronics"),"High Value","Normal")</f>
        <v/>
      </c>
    </row>
    <row r="433">
      <c r="A433">
        <f>Sales!A433</f>
        <v/>
      </c>
      <c r="B433">
        <f>VLOOKUP(Sales!C433,Products!A:E,2,FALSE)</f>
        <v/>
      </c>
      <c r="C433">
        <f>INDEX(Products!C:C, MATCH(Sales!C433, Products!A:A, 0))</f>
        <v/>
      </c>
      <c r="D433">
        <f>XLOOKUP(Sales!C433, Products!A:A, Products!D:D)</f>
        <v/>
      </c>
      <c r="E433">
        <f>Sales!D433*Sales!E433</f>
        <v/>
      </c>
      <c r="F433">
        <f>MATCH(Sales!C433, Products!A:A, 0)</f>
        <v/>
      </c>
      <c r="G433">
        <f>OFFSET(Sales!E433,1,0)</f>
        <v/>
      </c>
      <c r="H433">
        <f>IF(AND(Sales!D433*Sales!E433&gt;5000, INDEX(Products!C:C, MATCH(Sales!C433, Products!A:A, 0))="Electronics"),"High Value","Normal")</f>
        <v/>
      </c>
    </row>
    <row r="434">
      <c r="A434">
        <f>Sales!A434</f>
        <v/>
      </c>
      <c r="B434">
        <f>VLOOKUP(Sales!C434,Products!A:E,2,FALSE)</f>
        <v/>
      </c>
      <c r="C434">
        <f>INDEX(Products!C:C, MATCH(Sales!C434, Products!A:A, 0))</f>
        <v/>
      </c>
      <c r="D434">
        <f>XLOOKUP(Sales!C434, Products!A:A, Products!D:D)</f>
        <v/>
      </c>
      <c r="E434">
        <f>Sales!D434*Sales!E434</f>
        <v/>
      </c>
      <c r="F434">
        <f>MATCH(Sales!C434, Products!A:A, 0)</f>
        <v/>
      </c>
      <c r="G434">
        <f>OFFSET(Sales!E434,1,0)</f>
        <v/>
      </c>
      <c r="H434">
        <f>IF(AND(Sales!D434*Sales!E434&gt;5000, INDEX(Products!C:C, MATCH(Sales!C434, Products!A:A, 0))="Electronics"),"High Value","Normal")</f>
        <v/>
      </c>
    </row>
    <row r="435">
      <c r="A435">
        <f>Sales!A435</f>
        <v/>
      </c>
      <c r="B435">
        <f>VLOOKUP(Sales!C435,Products!A:E,2,FALSE)</f>
        <v/>
      </c>
      <c r="C435">
        <f>INDEX(Products!C:C, MATCH(Sales!C435, Products!A:A, 0))</f>
        <v/>
      </c>
      <c r="D435">
        <f>XLOOKUP(Sales!C435, Products!A:A, Products!D:D)</f>
        <v/>
      </c>
      <c r="E435">
        <f>Sales!D435*Sales!E435</f>
        <v/>
      </c>
      <c r="F435">
        <f>MATCH(Sales!C435, Products!A:A, 0)</f>
        <v/>
      </c>
      <c r="G435">
        <f>OFFSET(Sales!E435,1,0)</f>
        <v/>
      </c>
      <c r="H435">
        <f>IF(AND(Sales!D435*Sales!E435&gt;5000, INDEX(Products!C:C, MATCH(Sales!C435, Products!A:A, 0))="Electronics"),"High Value","Normal")</f>
        <v/>
      </c>
    </row>
    <row r="436">
      <c r="A436">
        <f>Sales!A436</f>
        <v/>
      </c>
      <c r="B436">
        <f>VLOOKUP(Sales!C436,Products!A:E,2,FALSE)</f>
        <v/>
      </c>
      <c r="C436">
        <f>INDEX(Products!C:C, MATCH(Sales!C436, Products!A:A, 0))</f>
        <v/>
      </c>
      <c r="D436">
        <f>XLOOKUP(Sales!C436, Products!A:A, Products!D:D)</f>
        <v/>
      </c>
      <c r="E436">
        <f>Sales!D436*Sales!E436</f>
        <v/>
      </c>
      <c r="F436">
        <f>MATCH(Sales!C436, Products!A:A, 0)</f>
        <v/>
      </c>
      <c r="G436">
        <f>OFFSET(Sales!E436,1,0)</f>
        <v/>
      </c>
      <c r="H436">
        <f>IF(AND(Sales!D436*Sales!E436&gt;5000, INDEX(Products!C:C, MATCH(Sales!C436, Products!A:A, 0))="Electronics"),"High Value","Normal")</f>
        <v/>
      </c>
    </row>
    <row r="437">
      <c r="A437">
        <f>Sales!A437</f>
        <v/>
      </c>
      <c r="B437">
        <f>VLOOKUP(Sales!C437,Products!A:E,2,FALSE)</f>
        <v/>
      </c>
      <c r="C437">
        <f>INDEX(Products!C:C, MATCH(Sales!C437, Products!A:A, 0))</f>
        <v/>
      </c>
      <c r="D437">
        <f>XLOOKUP(Sales!C437, Products!A:A, Products!D:D)</f>
        <v/>
      </c>
      <c r="E437">
        <f>Sales!D437*Sales!E437</f>
        <v/>
      </c>
      <c r="F437">
        <f>MATCH(Sales!C437, Products!A:A, 0)</f>
        <v/>
      </c>
      <c r="G437">
        <f>OFFSET(Sales!E437,1,0)</f>
        <v/>
      </c>
      <c r="H437">
        <f>IF(AND(Sales!D437*Sales!E437&gt;5000, INDEX(Products!C:C, MATCH(Sales!C437, Products!A:A, 0))="Electronics"),"High Value","Normal")</f>
        <v/>
      </c>
    </row>
    <row r="438">
      <c r="A438">
        <f>Sales!A438</f>
        <v/>
      </c>
      <c r="B438">
        <f>VLOOKUP(Sales!C438,Products!A:E,2,FALSE)</f>
        <v/>
      </c>
      <c r="C438">
        <f>INDEX(Products!C:C, MATCH(Sales!C438, Products!A:A, 0))</f>
        <v/>
      </c>
      <c r="D438">
        <f>XLOOKUP(Sales!C438, Products!A:A, Products!D:D)</f>
        <v/>
      </c>
      <c r="E438">
        <f>Sales!D438*Sales!E438</f>
        <v/>
      </c>
      <c r="F438">
        <f>MATCH(Sales!C438, Products!A:A, 0)</f>
        <v/>
      </c>
      <c r="G438">
        <f>OFFSET(Sales!E438,1,0)</f>
        <v/>
      </c>
      <c r="H438">
        <f>IF(AND(Sales!D438*Sales!E438&gt;5000, INDEX(Products!C:C, MATCH(Sales!C438, Products!A:A, 0))="Electronics"),"High Value","Normal")</f>
        <v/>
      </c>
    </row>
    <row r="439">
      <c r="A439">
        <f>Sales!A439</f>
        <v/>
      </c>
      <c r="B439">
        <f>VLOOKUP(Sales!C439,Products!A:E,2,FALSE)</f>
        <v/>
      </c>
      <c r="C439">
        <f>INDEX(Products!C:C, MATCH(Sales!C439, Products!A:A, 0))</f>
        <v/>
      </c>
      <c r="D439">
        <f>XLOOKUP(Sales!C439, Products!A:A, Products!D:D)</f>
        <v/>
      </c>
      <c r="E439">
        <f>Sales!D439*Sales!E439</f>
        <v/>
      </c>
      <c r="F439">
        <f>MATCH(Sales!C439, Products!A:A, 0)</f>
        <v/>
      </c>
      <c r="G439">
        <f>OFFSET(Sales!E439,1,0)</f>
        <v/>
      </c>
      <c r="H439">
        <f>IF(AND(Sales!D439*Sales!E439&gt;5000, INDEX(Products!C:C, MATCH(Sales!C439, Products!A:A, 0))="Electronics"),"High Value","Normal")</f>
        <v/>
      </c>
    </row>
    <row r="440">
      <c r="A440">
        <f>Sales!A440</f>
        <v/>
      </c>
      <c r="B440">
        <f>VLOOKUP(Sales!C440,Products!A:E,2,FALSE)</f>
        <v/>
      </c>
      <c r="C440">
        <f>INDEX(Products!C:C, MATCH(Sales!C440, Products!A:A, 0))</f>
        <v/>
      </c>
      <c r="D440">
        <f>XLOOKUP(Sales!C440, Products!A:A, Products!D:D)</f>
        <v/>
      </c>
      <c r="E440">
        <f>Sales!D440*Sales!E440</f>
        <v/>
      </c>
      <c r="F440">
        <f>MATCH(Sales!C440, Products!A:A, 0)</f>
        <v/>
      </c>
      <c r="G440">
        <f>OFFSET(Sales!E440,1,0)</f>
        <v/>
      </c>
      <c r="H440">
        <f>IF(AND(Sales!D440*Sales!E440&gt;5000, INDEX(Products!C:C, MATCH(Sales!C440, Products!A:A, 0))="Electronics"),"High Value","Normal")</f>
        <v/>
      </c>
    </row>
    <row r="441">
      <c r="A441">
        <f>Sales!A441</f>
        <v/>
      </c>
      <c r="B441">
        <f>VLOOKUP(Sales!C441,Products!A:E,2,FALSE)</f>
        <v/>
      </c>
      <c r="C441">
        <f>INDEX(Products!C:C, MATCH(Sales!C441, Products!A:A, 0))</f>
        <v/>
      </c>
      <c r="D441">
        <f>XLOOKUP(Sales!C441, Products!A:A, Products!D:D)</f>
        <v/>
      </c>
      <c r="E441">
        <f>Sales!D441*Sales!E441</f>
        <v/>
      </c>
      <c r="F441">
        <f>MATCH(Sales!C441, Products!A:A, 0)</f>
        <v/>
      </c>
      <c r="G441">
        <f>OFFSET(Sales!E441,1,0)</f>
        <v/>
      </c>
      <c r="H441">
        <f>IF(AND(Sales!D441*Sales!E441&gt;5000, INDEX(Products!C:C, MATCH(Sales!C441, Products!A:A, 0))="Electronics"),"High Value","Normal")</f>
        <v/>
      </c>
    </row>
    <row r="442">
      <c r="A442">
        <f>Sales!A442</f>
        <v/>
      </c>
      <c r="B442">
        <f>VLOOKUP(Sales!C442,Products!A:E,2,FALSE)</f>
        <v/>
      </c>
      <c r="C442">
        <f>INDEX(Products!C:C, MATCH(Sales!C442, Products!A:A, 0))</f>
        <v/>
      </c>
      <c r="D442">
        <f>XLOOKUP(Sales!C442, Products!A:A, Products!D:D)</f>
        <v/>
      </c>
      <c r="E442">
        <f>Sales!D442*Sales!E442</f>
        <v/>
      </c>
      <c r="F442">
        <f>MATCH(Sales!C442, Products!A:A, 0)</f>
        <v/>
      </c>
      <c r="G442">
        <f>OFFSET(Sales!E442,1,0)</f>
        <v/>
      </c>
      <c r="H442">
        <f>IF(AND(Sales!D442*Sales!E442&gt;5000, INDEX(Products!C:C, MATCH(Sales!C442, Products!A:A, 0))="Electronics"),"High Value","Normal")</f>
        <v/>
      </c>
    </row>
    <row r="443">
      <c r="A443">
        <f>Sales!A443</f>
        <v/>
      </c>
      <c r="B443">
        <f>VLOOKUP(Sales!C443,Products!A:E,2,FALSE)</f>
        <v/>
      </c>
      <c r="C443">
        <f>INDEX(Products!C:C, MATCH(Sales!C443, Products!A:A, 0))</f>
        <v/>
      </c>
      <c r="D443">
        <f>XLOOKUP(Sales!C443, Products!A:A, Products!D:D)</f>
        <v/>
      </c>
      <c r="E443">
        <f>Sales!D443*Sales!E443</f>
        <v/>
      </c>
      <c r="F443">
        <f>MATCH(Sales!C443, Products!A:A, 0)</f>
        <v/>
      </c>
      <c r="G443">
        <f>OFFSET(Sales!E443,1,0)</f>
        <v/>
      </c>
      <c r="H443">
        <f>IF(AND(Sales!D443*Sales!E443&gt;5000, INDEX(Products!C:C, MATCH(Sales!C443, Products!A:A, 0))="Electronics"),"High Value","Normal")</f>
        <v/>
      </c>
    </row>
    <row r="444">
      <c r="A444">
        <f>Sales!A444</f>
        <v/>
      </c>
      <c r="B444">
        <f>VLOOKUP(Sales!C444,Products!A:E,2,FALSE)</f>
        <v/>
      </c>
      <c r="C444">
        <f>INDEX(Products!C:C, MATCH(Sales!C444, Products!A:A, 0))</f>
        <v/>
      </c>
      <c r="D444">
        <f>XLOOKUP(Sales!C444, Products!A:A, Products!D:D)</f>
        <v/>
      </c>
      <c r="E444">
        <f>Sales!D444*Sales!E444</f>
        <v/>
      </c>
      <c r="F444">
        <f>MATCH(Sales!C444, Products!A:A, 0)</f>
        <v/>
      </c>
      <c r="G444">
        <f>OFFSET(Sales!E444,1,0)</f>
        <v/>
      </c>
      <c r="H444">
        <f>IF(AND(Sales!D444*Sales!E444&gt;5000, INDEX(Products!C:C, MATCH(Sales!C444, Products!A:A, 0))="Electronics"),"High Value","Normal")</f>
        <v/>
      </c>
    </row>
    <row r="445">
      <c r="A445">
        <f>Sales!A445</f>
        <v/>
      </c>
      <c r="B445">
        <f>VLOOKUP(Sales!C445,Products!A:E,2,FALSE)</f>
        <v/>
      </c>
      <c r="C445">
        <f>INDEX(Products!C:C, MATCH(Sales!C445, Products!A:A, 0))</f>
        <v/>
      </c>
      <c r="D445">
        <f>XLOOKUP(Sales!C445, Products!A:A, Products!D:D)</f>
        <v/>
      </c>
      <c r="E445">
        <f>Sales!D445*Sales!E445</f>
        <v/>
      </c>
      <c r="F445">
        <f>MATCH(Sales!C445, Products!A:A, 0)</f>
        <v/>
      </c>
      <c r="G445">
        <f>OFFSET(Sales!E445,1,0)</f>
        <v/>
      </c>
      <c r="H445">
        <f>IF(AND(Sales!D445*Sales!E445&gt;5000, INDEX(Products!C:C, MATCH(Sales!C445, Products!A:A, 0))="Electronics"),"High Value","Normal")</f>
        <v/>
      </c>
    </row>
    <row r="446">
      <c r="A446">
        <f>Sales!A446</f>
        <v/>
      </c>
      <c r="B446">
        <f>VLOOKUP(Sales!C446,Products!A:E,2,FALSE)</f>
        <v/>
      </c>
      <c r="C446">
        <f>INDEX(Products!C:C, MATCH(Sales!C446, Products!A:A, 0))</f>
        <v/>
      </c>
      <c r="D446">
        <f>XLOOKUP(Sales!C446, Products!A:A, Products!D:D)</f>
        <v/>
      </c>
      <c r="E446">
        <f>Sales!D446*Sales!E446</f>
        <v/>
      </c>
      <c r="F446">
        <f>MATCH(Sales!C446, Products!A:A, 0)</f>
        <v/>
      </c>
      <c r="G446">
        <f>OFFSET(Sales!E446,1,0)</f>
        <v/>
      </c>
      <c r="H446">
        <f>IF(AND(Sales!D446*Sales!E446&gt;5000, INDEX(Products!C:C, MATCH(Sales!C446, Products!A:A, 0))="Electronics"),"High Value","Normal")</f>
        <v/>
      </c>
    </row>
    <row r="447">
      <c r="A447">
        <f>Sales!A447</f>
        <v/>
      </c>
      <c r="B447">
        <f>VLOOKUP(Sales!C447,Products!A:E,2,FALSE)</f>
        <v/>
      </c>
      <c r="C447">
        <f>INDEX(Products!C:C, MATCH(Sales!C447, Products!A:A, 0))</f>
        <v/>
      </c>
      <c r="D447">
        <f>XLOOKUP(Sales!C447, Products!A:A, Products!D:D)</f>
        <v/>
      </c>
      <c r="E447">
        <f>Sales!D447*Sales!E447</f>
        <v/>
      </c>
      <c r="F447">
        <f>MATCH(Sales!C447, Products!A:A, 0)</f>
        <v/>
      </c>
      <c r="G447">
        <f>OFFSET(Sales!E447,1,0)</f>
        <v/>
      </c>
      <c r="H447">
        <f>IF(AND(Sales!D447*Sales!E447&gt;5000, INDEX(Products!C:C, MATCH(Sales!C447, Products!A:A, 0))="Electronics"),"High Value","Normal")</f>
        <v/>
      </c>
    </row>
    <row r="448">
      <c r="A448">
        <f>Sales!A448</f>
        <v/>
      </c>
      <c r="B448">
        <f>VLOOKUP(Sales!C448,Products!A:E,2,FALSE)</f>
        <v/>
      </c>
      <c r="C448">
        <f>INDEX(Products!C:C, MATCH(Sales!C448, Products!A:A, 0))</f>
        <v/>
      </c>
      <c r="D448">
        <f>XLOOKUP(Sales!C448, Products!A:A, Products!D:D)</f>
        <v/>
      </c>
      <c r="E448">
        <f>Sales!D448*Sales!E448</f>
        <v/>
      </c>
      <c r="F448">
        <f>MATCH(Sales!C448, Products!A:A, 0)</f>
        <v/>
      </c>
      <c r="G448">
        <f>OFFSET(Sales!E448,1,0)</f>
        <v/>
      </c>
      <c r="H448">
        <f>IF(AND(Sales!D448*Sales!E448&gt;5000, INDEX(Products!C:C, MATCH(Sales!C448, Products!A:A, 0))="Electronics"),"High Value","Normal")</f>
        <v/>
      </c>
    </row>
    <row r="449">
      <c r="A449">
        <f>Sales!A449</f>
        <v/>
      </c>
      <c r="B449">
        <f>VLOOKUP(Sales!C449,Products!A:E,2,FALSE)</f>
        <v/>
      </c>
      <c r="C449">
        <f>INDEX(Products!C:C, MATCH(Sales!C449, Products!A:A, 0))</f>
        <v/>
      </c>
      <c r="D449">
        <f>XLOOKUP(Sales!C449, Products!A:A, Products!D:D)</f>
        <v/>
      </c>
      <c r="E449">
        <f>Sales!D449*Sales!E449</f>
        <v/>
      </c>
      <c r="F449">
        <f>MATCH(Sales!C449, Products!A:A, 0)</f>
        <v/>
      </c>
      <c r="G449">
        <f>OFFSET(Sales!E449,1,0)</f>
        <v/>
      </c>
      <c r="H449">
        <f>IF(AND(Sales!D449*Sales!E449&gt;5000, INDEX(Products!C:C, MATCH(Sales!C449, Products!A:A, 0))="Electronics"),"High Value","Normal")</f>
        <v/>
      </c>
    </row>
    <row r="450">
      <c r="A450">
        <f>Sales!A450</f>
        <v/>
      </c>
      <c r="B450">
        <f>VLOOKUP(Sales!C450,Products!A:E,2,FALSE)</f>
        <v/>
      </c>
      <c r="C450">
        <f>INDEX(Products!C:C, MATCH(Sales!C450, Products!A:A, 0))</f>
        <v/>
      </c>
      <c r="D450">
        <f>XLOOKUP(Sales!C450, Products!A:A, Products!D:D)</f>
        <v/>
      </c>
      <c r="E450">
        <f>Sales!D450*Sales!E450</f>
        <v/>
      </c>
      <c r="F450">
        <f>MATCH(Sales!C450, Products!A:A, 0)</f>
        <v/>
      </c>
      <c r="G450">
        <f>OFFSET(Sales!E450,1,0)</f>
        <v/>
      </c>
      <c r="H450">
        <f>IF(AND(Sales!D450*Sales!E450&gt;5000, INDEX(Products!C:C, MATCH(Sales!C450, Products!A:A, 0))="Electronics"),"High Value","Normal")</f>
        <v/>
      </c>
    </row>
    <row r="451">
      <c r="A451">
        <f>Sales!A451</f>
        <v/>
      </c>
      <c r="B451">
        <f>VLOOKUP(Sales!C451,Products!A:E,2,FALSE)</f>
        <v/>
      </c>
      <c r="C451">
        <f>INDEX(Products!C:C, MATCH(Sales!C451, Products!A:A, 0))</f>
        <v/>
      </c>
      <c r="D451">
        <f>XLOOKUP(Sales!C451, Products!A:A, Products!D:D)</f>
        <v/>
      </c>
      <c r="E451">
        <f>Sales!D451*Sales!E451</f>
        <v/>
      </c>
      <c r="F451">
        <f>MATCH(Sales!C451, Products!A:A, 0)</f>
        <v/>
      </c>
      <c r="G451">
        <f>OFFSET(Sales!E451,1,0)</f>
        <v/>
      </c>
      <c r="H451">
        <f>IF(AND(Sales!D451*Sales!E451&gt;5000, INDEX(Products!C:C, MATCH(Sales!C451, Products!A:A, 0))="Electronics"),"High Value","Normal")</f>
        <v/>
      </c>
    </row>
    <row r="452">
      <c r="A452">
        <f>Sales!A452</f>
        <v/>
      </c>
      <c r="B452">
        <f>VLOOKUP(Sales!C452,Products!A:E,2,FALSE)</f>
        <v/>
      </c>
      <c r="C452">
        <f>INDEX(Products!C:C, MATCH(Sales!C452, Products!A:A, 0))</f>
        <v/>
      </c>
      <c r="D452">
        <f>XLOOKUP(Sales!C452, Products!A:A, Products!D:D)</f>
        <v/>
      </c>
      <c r="E452">
        <f>Sales!D452*Sales!E452</f>
        <v/>
      </c>
      <c r="F452">
        <f>MATCH(Sales!C452, Products!A:A, 0)</f>
        <v/>
      </c>
      <c r="G452">
        <f>OFFSET(Sales!E452,1,0)</f>
        <v/>
      </c>
      <c r="H452">
        <f>IF(AND(Sales!D452*Sales!E452&gt;5000, INDEX(Products!C:C, MATCH(Sales!C452, Products!A:A, 0))="Electronics"),"High Value","Normal")</f>
        <v/>
      </c>
    </row>
    <row r="453">
      <c r="A453">
        <f>Sales!A453</f>
        <v/>
      </c>
      <c r="B453">
        <f>VLOOKUP(Sales!C453,Products!A:E,2,FALSE)</f>
        <v/>
      </c>
      <c r="C453">
        <f>INDEX(Products!C:C, MATCH(Sales!C453, Products!A:A, 0))</f>
        <v/>
      </c>
      <c r="D453">
        <f>XLOOKUP(Sales!C453, Products!A:A, Products!D:D)</f>
        <v/>
      </c>
      <c r="E453">
        <f>Sales!D453*Sales!E453</f>
        <v/>
      </c>
      <c r="F453">
        <f>MATCH(Sales!C453, Products!A:A, 0)</f>
        <v/>
      </c>
      <c r="G453">
        <f>OFFSET(Sales!E453,1,0)</f>
        <v/>
      </c>
      <c r="H453">
        <f>IF(AND(Sales!D453*Sales!E453&gt;5000, INDEX(Products!C:C, MATCH(Sales!C453, Products!A:A, 0))="Electronics"),"High Value","Normal")</f>
        <v/>
      </c>
    </row>
    <row r="454">
      <c r="A454">
        <f>Sales!A454</f>
        <v/>
      </c>
      <c r="B454">
        <f>VLOOKUP(Sales!C454,Products!A:E,2,FALSE)</f>
        <v/>
      </c>
      <c r="C454">
        <f>INDEX(Products!C:C, MATCH(Sales!C454, Products!A:A, 0))</f>
        <v/>
      </c>
      <c r="D454">
        <f>XLOOKUP(Sales!C454, Products!A:A, Products!D:D)</f>
        <v/>
      </c>
      <c r="E454">
        <f>Sales!D454*Sales!E454</f>
        <v/>
      </c>
      <c r="F454">
        <f>MATCH(Sales!C454, Products!A:A, 0)</f>
        <v/>
      </c>
      <c r="G454">
        <f>OFFSET(Sales!E454,1,0)</f>
        <v/>
      </c>
      <c r="H454">
        <f>IF(AND(Sales!D454*Sales!E454&gt;5000, INDEX(Products!C:C, MATCH(Sales!C454, Products!A:A, 0))="Electronics"),"High Value","Normal")</f>
        <v/>
      </c>
    </row>
    <row r="455">
      <c r="A455">
        <f>Sales!A455</f>
        <v/>
      </c>
      <c r="B455">
        <f>VLOOKUP(Sales!C455,Products!A:E,2,FALSE)</f>
        <v/>
      </c>
      <c r="C455">
        <f>INDEX(Products!C:C, MATCH(Sales!C455, Products!A:A, 0))</f>
        <v/>
      </c>
      <c r="D455">
        <f>XLOOKUP(Sales!C455, Products!A:A, Products!D:D)</f>
        <v/>
      </c>
      <c r="E455">
        <f>Sales!D455*Sales!E455</f>
        <v/>
      </c>
      <c r="F455">
        <f>MATCH(Sales!C455, Products!A:A, 0)</f>
        <v/>
      </c>
      <c r="G455">
        <f>OFFSET(Sales!E455,1,0)</f>
        <v/>
      </c>
      <c r="H455">
        <f>IF(AND(Sales!D455*Sales!E455&gt;5000, INDEX(Products!C:C, MATCH(Sales!C455, Products!A:A, 0))="Electronics"),"High Value","Normal")</f>
        <v/>
      </c>
    </row>
    <row r="456">
      <c r="A456">
        <f>Sales!A456</f>
        <v/>
      </c>
      <c r="B456">
        <f>VLOOKUP(Sales!C456,Products!A:E,2,FALSE)</f>
        <v/>
      </c>
      <c r="C456">
        <f>INDEX(Products!C:C, MATCH(Sales!C456, Products!A:A, 0))</f>
        <v/>
      </c>
      <c r="D456">
        <f>XLOOKUP(Sales!C456, Products!A:A, Products!D:D)</f>
        <v/>
      </c>
      <c r="E456">
        <f>Sales!D456*Sales!E456</f>
        <v/>
      </c>
      <c r="F456">
        <f>MATCH(Sales!C456, Products!A:A, 0)</f>
        <v/>
      </c>
      <c r="G456">
        <f>OFFSET(Sales!E456,1,0)</f>
        <v/>
      </c>
      <c r="H456">
        <f>IF(AND(Sales!D456*Sales!E456&gt;5000, INDEX(Products!C:C, MATCH(Sales!C456, Products!A:A, 0))="Electronics"),"High Value","Normal")</f>
        <v/>
      </c>
    </row>
    <row r="457">
      <c r="A457">
        <f>Sales!A457</f>
        <v/>
      </c>
      <c r="B457">
        <f>VLOOKUP(Sales!C457,Products!A:E,2,FALSE)</f>
        <v/>
      </c>
      <c r="C457">
        <f>INDEX(Products!C:C, MATCH(Sales!C457, Products!A:A, 0))</f>
        <v/>
      </c>
      <c r="D457">
        <f>XLOOKUP(Sales!C457, Products!A:A, Products!D:D)</f>
        <v/>
      </c>
      <c r="E457">
        <f>Sales!D457*Sales!E457</f>
        <v/>
      </c>
      <c r="F457">
        <f>MATCH(Sales!C457, Products!A:A, 0)</f>
        <v/>
      </c>
      <c r="G457">
        <f>OFFSET(Sales!E457,1,0)</f>
        <v/>
      </c>
      <c r="H457">
        <f>IF(AND(Sales!D457*Sales!E457&gt;5000, INDEX(Products!C:C, MATCH(Sales!C457, Products!A:A, 0))="Electronics"),"High Value","Normal")</f>
        <v/>
      </c>
    </row>
    <row r="458">
      <c r="A458">
        <f>Sales!A458</f>
        <v/>
      </c>
      <c r="B458">
        <f>VLOOKUP(Sales!C458,Products!A:E,2,FALSE)</f>
        <v/>
      </c>
      <c r="C458">
        <f>INDEX(Products!C:C, MATCH(Sales!C458, Products!A:A, 0))</f>
        <v/>
      </c>
      <c r="D458">
        <f>XLOOKUP(Sales!C458, Products!A:A, Products!D:D)</f>
        <v/>
      </c>
      <c r="E458">
        <f>Sales!D458*Sales!E458</f>
        <v/>
      </c>
      <c r="F458">
        <f>MATCH(Sales!C458, Products!A:A, 0)</f>
        <v/>
      </c>
      <c r="G458">
        <f>OFFSET(Sales!E458,1,0)</f>
        <v/>
      </c>
      <c r="H458">
        <f>IF(AND(Sales!D458*Sales!E458&gt;5000, INDEX(Products!C:C, MATCH(Sales!C458, Products!A:A, 0))="Electronics"),"High Value","Normal")</f>
        <v/>
      </c>
    </row>
    <row r="459">
      <c r="A459">
        <f>Sales!A459</f>
        <v/>
      </c>
      <c r="B459">
        <f>VLOOKUP(Sales!C459,Products!A:E,2,FALSE)</f>
        <v/>
      </c>
      <c r="C459">
        <f>INDEX(Products!C:C, MATCH(Sales!C459, Products!A:A, 0))</f>
        <v/>
      </c>
      <c r="D459">
        <f>XLOOKUP(Sales!C459, Products!A:A, Products!D:D)</f>
        <v/>
      </c>
      <c r="E459">
        <f>Sales!D459*Sales!E459</f>
        <v/>
      </c>
      <c r="F459">
        <f>MATCH(Sales!C459, Products!A:A, 0)</f>
        <v/>
      </c>
      <c r="G459">
        <f>OFFSET(Sales!E459,1,0)</f>
        <v/>
      </c>
      <c r="H459">
        <f>IF(AND(Sales!D459*Sales!E459&gt;5000, INDEX(Products!C:C, MATCH(Sales!C459, Products!A:A, 0))="Electronics"),"High Value","Normal")</f>
        <v/>
      </c>
    </row>
    <row r="460">
      <c r="A460">
        <f>Sales!A460</f>
        <v/>
      </c>
      <c r="B460">
        <f>VLOOKUP(Sales!C460,Products!A:E,2,FALSE)</f>
        <v/>
      </c>
      <c r="C460">
        <f>INDEX(Products!C:C, MATCH(Sales!C460, Products!A:A, 0))</f>
        <v/>
      </c>
      <c r="D460">
        <f>XLOOKUP(Sales!C460, Products!A:A, Products!D:D)</f>
        <v/>
      </c>
      <c r="E460">
        <f>Sales!D460*Sales!E460</f>
        <v/>
      </c>
      <c r="F460">
        <f>MATCH(Sales!C460, Products!A:A, 0)</f>
        <v/>
      </c>
      <c r="G460">
        <f>OFFSET(Sales!E460,1,0)</f>
        <v/>
      </c>
      <c r="H460">
        <f>IF(AND(Sales!D460*Sales!E460&gt;5000, INDEX(Products!C:C, MATCH(Sales!C460, Products!A:A, 0))="Electronics"),"High Value","Normal")</f>
        <v/>
      </c>
    </row>
    <row r="461">
      <c r="A461">
        <f>Sales!A461</f>
        <v/>
      </c>
      <c r="B461">
        <f>VLOOKUP(Sales!C461,Products!A:E,2,FALSE)</f>
        <v/>
      </c>
      <c r="C461">
        <f>INDEX(Products!C:C, MATCH(Sales!C461, Products!A:A, 0))</f>
        <v/>
      </c>
      <c r="D461">
        <f>XLOOKUP(Sales!C461, Products!A:A, Products!D:D)</f>
        <v/>
      </c>
      <c r="E461">
        <f>Sales!D461*Sales!E461</f>
        <v/>
      </c>
      <c r="F461">
        <f>MATCH(Sales!C461, Products!A:A, 0)</f>
        <v/>
      </c>
      <c r="G461">
        <f>OFFSET(Sales!E461,1,0)</f>
        <v/>
      </c>
      <c r="H461">
        <f>IF(AND(Sales!D461*Sales!E461&gt;5000, INDEX(Products!C:C, MATCH(Sales!C461, Products!A:A, 0))="Electronics"),"High Value","Normal")</f>
        <v/>
      </c>
    </row>
    <row r="462">
      <c r="A462">
        <f>Sales!A462</f>
        <v/>
      </c>
      <c r="B462">
        <f>VLOOKUP(Sales!C462,Products!A:E,2,FALSE)</f>
        <v/>
      </c>
      <c r="C462">
        <f>INDEX(Products!C:C, MATCH(Sales!C462, Products!A:A, 0))</f>
        <v/>
      </c>
      <c r="D462">
        <f>XLOOKUP(Sales!C462, Products!A:A, Products!D:D)</f>
        <v/>
      </c>
      <c r="E462">
        <f>Sales!D462*Sales!E462</f>
        <v/>
      </c>
      <c r="F462">
        <f>MATCH(Sales!C462, Products!A:A, 0)</f>
        <v/>
      </c>
      <c r="G462">
        <f>OFFSET(Sales!E462,1,0)</f>
        <v/>
      </c>
      <c r="H462">
        <f>IF(AND(Sales!D462*Sales!E462&gt;5000, INDEX(Products!C:C, MATCH(Sales!C462, Products!A:A, 0))="Electronics"),"High Value","Normal")</f>
        <v/>
      </c>
    </row>
    <row r="463">
      <c r="A463">
        <f>Sales!A463</f>
        <v/>
      </c>
      <c r="B463">
        <f>VLOOKUP(Sales!C463,Products!A:E,2,FALSE)</f>
        <v/>
      </c>
      <c r="C463">
        <f>INDEX(Products!C:C, MATCH(Sales!C463, Products!A:A, 0))</f>
        <v/>
      </c>
      <c r="D463">
        <f>XLOOKUP(Sales!C463, Products!A:A, Products!D:D)</f>
        <v/>
      </c>
      <c r="E463">
        <f>Sales!D463*Sales!E463</f>
        <v/>
      </c>
      <c r="F463">
        <f>MATCH(Sales!C463, Products!A:A, 0)</f>
        <v/>
      </c>
      <c r="G463">
        <f>OFFSET(Sales!E463,1,0)</f>
        <v/>
      </c>
      <c r="H463">
        <f>IF(AND(Sales!D463*Sales!E463&gt;5000, INDEX(Products!C:C, MATCH(Sales!C463, Products!A:A, 0))="Electronics"),"High Value","Normal")</f>
        <v/>
      </c>
    </row>
    <row r="464">
      <c r="A464">
        <f>Sales!A464</f>
        <v/>
      </c>
      <c r="B464">
        <f>VLOOKUP(Sales!C464,Products!A:E,2,FALSE)</f>
        <v/>
      </c>
      <c r="C464">
        <f>INDEX(Products!C:C, MATCH(Sales!C464, Products!A:A, 0))</f>
        <v/>
      </c>
      <c r="D464">
        <f>XLOOKUP(Sales!C464, Products!A:A, Products!D:D)</f>
        <v/>
      </c>
      <c r="E464">
        <f>Sales!D464*Sales!E464</f>
        <v/>
      </c>
      <c r="F464">
        <f>MATCH(Sales!C464, Products!A:A, 0)</f>
        <v/>
      </c>
      <c r="G464">
        <f>OFFSET(Sales!E464,1,0)</f>
        <v/>
      </c>
      <c r="H464">
        <f>IF(AND(Sales!D464*Sales!E464&gt;5000, INDEX(Products!C:C, MATCH(Sales!C464, Products!A:A, 0))="Electronics"),"High Value","Normal")</f>
        <v/>
      </c>
    </row>
    <row r="465">
      <c r="A465">
        <f>Sales!A465</f>
        <v/>
      </c>
      <c r="B465">
        <f>VLOOKUP(Sales!C465,Products!A:E,2,FALSE)</f>
        <v/>
      </c>
      <c r="C465">
        <f>INDEX(Products!C:C, MATCH(Sales!C465, Products!A:A, 0))</f>
        <v/>
      </c>
      <c r="D465">
        <f>XLOOKUP(Sales!C465, Products!A:A, Products!D:D)</f>
        <v/>
      </c>
      <c r="E465">
        <f>Sales!D465*Sales!E465</f>
        <v/>
      </c>
      <c r="F465">
        <f>MATCH(Sales!C465, Products!A:A, 0)</f>
        <v/>
      </c>
      <c r="G465">
        <f>OFFSET(Sales!E465,1,0)</f>
        <v/>
      </c>
      <c r="H465">
        <f>IF(AND(Sales!D465*Sales!E465&gt;5000, INDEX(Products!C:C, MATCH(Sales!C465, Products!A:A, 0))="Electronics"),"High Value","Normal")</f>
        <v/>
      </c>
    </row>
    <row r="466">
      <c r="A466">
        <f>Sales!A466</f>
        <v/>
      </c>
      <c r="B466">
        <f>VLOOKUP(Sales!C466,Products!A:E,2,FALSE)</f>
        <v/>
      </c>
      <c r="C466">
        <f>INDEX(Products!C:C, MATCH(Sales!C466, Products!A:A, 0))</f>
        <v/>
      </c>
      <c r="D466">
        <f>XLOOKUP(Sales!C466, Products!A:A, Products!D:D)</f>
        <v/>
      </c>
      <c r="E466">
        <f>Sales!D466*Sales!E466</f>
        <v/>
      </c>
      <c r="F466">
        <f>MATCH(Sales!C466, Products!A:A, 0)</f>
        <v/>
      </c>
      <c r="G466">
        <f>OFFSET(Sales!E466,1,0)</f>
        <v/>
      </c>
      <c r="H466">
        <f>IF(AND(Sales!D466*Sales!E466&gt;5000, INDEX(Products!C:C, MATCH(Sales!C466, Products!A:A, 0))="Electronics"),"High Value","Normal")</f>
        <v/>
      </c>
    </row>
    <row r="467">
      <c r="A467">
        <f>Sales!A467</f>
        <v/>
      </c>
      <c r="B467">
        <f>VLOOKUP(Sales!C467,Products!A:E,2,FALSE)</f>
        <v/>
      </c>
      <c r="C467">
        <f>INDEX(Products!C:C, MATCH(Sales!C467, Products!A:A, 0))</f>
        <v/>
      </c>
      <c r="D467">
        <f>XLOOKUP(Sales!C467, Products!A:A, Products!D:D)</f>
        <v/>
      </c>
      <c r="E467">
        <f>Sales!D467*Sales!E467</f>
        <v/>
      </c>
      <c r="F467">
        <f>MATCH(Sales!C467, Products!A:A, 0)</f>
        <v/>
      </c>
      <c r="G467">
        <f>OFFSET(Sales!E467,1,0)</f>
        <v/>
      </c>
      <c r="H467">
        <f>IF(AND(Sales!D467*Sales!E467&gt;5000, INDEX(Products!C:C, MATCH(Sales!C467, Products!A:A, 0))="Electronics"),"High Value","Normal")</f>
        <v/>
      </c>
    </row>
    <row r="468">
      <c r="A468">
        <f>Sales!A468</f>
        <v/>
      </c>
      <c r="B468">
        <f>VLOOKUP(Sales!C468,Products!A:E,2,FALSE)</f>
        <v/>
      </c>
      <c r="C468">
        <f>INDEX(Products!C:C, MATCH(Sales!C468, Products!A:A, 0))</f>
        <v/>
      </c>
      <c r="D468">
        <f>XLOOKUP(Sales!C468, Products!A:A, Products!D:D)</f>
        <v/>
      </c>
      <c r="E468">
        <f>Sales!D468*Sales!E468</f>
        <v/>
      </c>
      <c r="F468">
        <f>MATCH(Sales!C468, Products!A:A, 0)</f>
        <v/>
      </c>
      <c r="G468">
        <f>OFFSET(Sales!E468,1,0)</f>
        <v/>
      </c>
      <c r="H468">
        <f>IF(AND(Sales!D468*Sales!E468&gt;5000, INDEX(Products!C:C, MATCH(Sales!C468, Products!A:A, 0))="Electronics"),"High Value","Normal")</f>
        <v/>
      </c>
    </row>
    <row r="469">
      <c r="A469">
        <f>Sales!A469</f>
        <v/>
      </c>
      <c r="B469">
        <f>VLOOKUP(Sales!C469,Products!A:E,2,FALSE)</f>
        <v/>
      </c>
      <c r="C469">
        <f>INDEX(Products!C:C, MATCH(Sales!C469, Products!A:A, 0))</f>
        <v/>
      </c>
      <c r="D469">
        <f>XLOOKUP(Sales!C469, Products!A:A, Products!D:D)</f>
        <v/>
      </c>
      <c r="E469">
        <f>Sales!D469*Sales!E469</f>
        <v/>
      </c>
      <c r="F469">
        <f>MATCH(Sales!C469, Products!A:A, 0)</f>
        <v/>
      </c>
      <c r="G469">
        <f>OFFSET(Sales!E469,1,0)</f>
        <v/>
      </c>
      <c r="H469">
        <f>IF(AND(Sales!D469*Sales!E469&gt;5000, INDEX(Products!C:C, MATCH(Sales!C469, Products!A:A, 0))="Electronics"),"High Value","Normal")</f>
        <v/>
      </c>
    </row>
    <row r="470">
      <c r="A470">
        <f>Sales!A470</f>
        <v/>
      </c>
      <c r="B470">
        <f>VLOOKUP(Sales!C470,Products!A:E,2,FALSE)</f>
        <v/>
      </c>
      <c r="C470">
        <f>INDEX(Products!C:C, MATCH(Sales!C470, Products!A:A, 0))</f>
        <v/>
      </c>
      <c r="D470">
        <f>XLOOKUP(Sales!C470, Products!A:A, Products!D:D)</f>
        <v/>
      </c>
      <c r="E470">
        <f>Sales!D470*Sales!E470</f>
        <v/>
      </c>
      <c r="F470">
        <f>MATCH(Sales!C470, Products!A:A, 0)</f>
        <v/>
      </c>
      <c r="G470">
        <f>OFFSET(Sales!E470,1,0)</f>
        <v/>
      </c>
      <c r="H470">
        <f>IF(AND(Sales!D470*Sales!E470&gt;5000, INDEX(Products!C:C, MATCH(Sales!C470, Products!A:A, 0))="Electronics"),"High Value","Normal")</f>
        <v/>
      </c>
    </row>
    <row r="471">
      <c r="A471">
        <f>Sales!A471</f>
        <v/>
      </c>
      <c r="B471">
        <f>VLOOKUP(Sales!C471,Products!A:E,2,FALSE)</f>
        <v/>
      </c>
      <c r="C471">
        <f>INDEX(Products!C:C, MATCH(Sales!C471, Products!A:A, 0))</f>
        <v/>
      </c>
      <c r="D471">
        <f>XLOOKUP(Sales!C471, Products!A:A, Products!D:D)</f>
        <v/>
      </c>
      <c r="E471">
        <f>Sales!D471*Sales!E471</f>
        <v/>
      </c>
      <c r="F471">
        <f>MATCH(Sales!C471, Products!A:A, 0)</f>
        <v/>
      </c>
      <c r="G471">
        <f>OFFSET(Sales!E471,1,0)</f>
        <v/>
      </c>
      <c r="H471">
        <f>IF(AND(Sales!D471*Sales!E471&gt;5000, INDEX(Products!C:C, MATCH(Sales!C471, Products!A:A, 0))="Electronics"),"High Value","Normal")</f>
        <v/>
      </c>
    </row>
    <row r="472">
      <c r="A472">
        <f>Sales!A472</f>
        <v/>
      </c>
      <c r="B472">
        <f>VLOOKUP(Sales!C472,Products!A:E,2,FALSE)</f>
        <v/>
      </c>
      <c r="C472">
        <f>INDEX(Products!C:C, MATCH(Sales!C472, Products!A:A, 0))</f>
        <v/>
      </c>
      <c r="D472">
        <f>XLOOKUP(Sales!C472, Products!A:A, Products!D:D)</f>
        <v/>
      </c>
      <c r="E472">
        <f>Sales!D472*Sales!E472</f>
        <v/>
      </c>
      <c r="F472">
        <f>MATCH(Sales!C472, Products!A:A, 0)</f>
        <v/>
      </c>
      <c r="G472">
        <f>OFFSET(Sales!E472,1,0)</f>
        <v/>
      </c>
      <c r="H472">
        <f>IF(AND(Sales!D472*Sales!E472&gt;5000, INDEX(Products!C:C, MATCH(Sales!C472, Products!A:A, 0))="Electronics"),"High Value","Normal")</f>
        <v/>
      </c>
    </row>
    <row r="473">
      <c r="A473">
        <f>Sales!A473</f>
        <v/>
      </c>
      <c r="B473">
        <f>VLOOKUP(Sales!C473,Products!A:E,2,FALSE)</f>
        <v/>
      </c>
      <c r="C473">
        <f>INDEX(Products!C:C, MATCH(Sales!C473, Products!A:A, 0))</f>
        <v/>
      </c>
      <c r="D473">
        <f>XLOOKUP(Sales!C473, Products!A:A, Products!D:D)</f>
        <v/>
      </c>
      <c r="E473">
        <f>Sales!D473*Sales!E473</f>
        <v/>
      </c>
      <c r="F473">
        <f>MATCH(Sales!C473, Products!A:A, 0)</f>
        <v/>
      </c>
      <c r="G473">
        <f>OFFSET(Sales!E473,1,0)</f>
        <v/>
      </c>
      <c r="H473">
        <f>IF(AND(Sales!D473*Sales!E473&gt;5000, INDEX(Products!C:C, MATCH(Sales!C473, Products!A:A, 0))="Electronics"),"High Value","Normal")</f>
        <v/>
      </c>
    </row>
    <row r="474">
      <c r="A474">
        <f>Sales!A474</f>
        <v/>
      </c>
      <c r="B474">
        <f>VLOOKUP(Sales!C474,Products!A:E,2,FALSE)</f>
        <v/>
      </c>
      <c r="C474">
        <f>INDEX(Products!C:C, MATCH(Sales!C474, Products!A:A, 0))</f>
        <v/>
      </c>
      <c r="D474">
        <f>XLOOKUP(Sales!C474, Products!A:A, Products!D:D)</f>
        <v/>
      </c>
      <c r="E474">
        <f>Sales!D474*Sales!E474</f>
        <v/>
      </c>
      <c r="F474">
        <f>MATCH(Sales!C474, Products!A:A, 0)</f>
        <v/>
      </c>
      <c r="G474">
        <f>OFFSET(Sales!E474,1,0)</f>
        <v/>
      </c>
      <c r="H474">
        <f>IF(AND(Sales!D474*Sales!E474&gt;5000, INDEX(Products!C:C, MATCH(Sales!C474, Products!A:A, 0))="Electronics"),"High Value","Normal")</f>
        <v/>
      </c>
    </row>
    <row r="475">
      <c r="A475">
        <f>Sales!A475</f>
        <v/>
      </c>
      <c r="B475">
        <f>VLOOKUP(Sales!C475,Products!A:E,2,FALSE)</f>
        <v/>
      </c>
      <c r="C475">
        <f>INDEX(Products!C:C, MATCH(Sales!C475, Products!A:A, 0))</f>
        <v/>
      </c>
      <c r="D475">
        <f>XLOOKUP(Sales!C475, Products!A:A, Products!D:D)</f>
        <v/>
      </c>
      <c r="E475">
        <f>Sales!D475*Sales!E475</f>
        <v/>
      </c>
      <c r="F475">
        <f>MATCH(Sales!C475, Products!A:A, 0)</f>
        <v/>
      </c>
      <c r="G475">
        <f>OFFSET(Sales!E475,1,0)</f>
        <v/>
      </c>
      <c r="H475">
        <f>IF(AND(Sales!D475*Sales!E475&gt;5000, INDEX(Products!C:C, MATCH(Sales!C475, Products!A:A, 0))="Electronics"),"High Value","Normal")</f>
        <v/>
      </c>
    </row>
    <row r="476">
      <c r="A476">
        <f>Sales!A476</f>
        <v/>
      </c>
      <c r="B476">
        <f>VLOOKUP(Sales!C476,Products!A:E,2,FALSE)</f>
        <v/>
      </c>
      <c r="C476">
        <f>INDEX(Products!C:C, MATCH(Sales!C476, Products!A:A, 0))</f>
        <v/>
      </c>
      <c r="D476">
        <f>XLOOKUP(Sales!C476, Products!A:A, Products!D:D)</f>
        <v/>
      </c>
      <c r="E476">
        <f>Sales!D476*Sales!E476</f>
        <v/>
      </c>
      <c r="F476">
        <f>MATCH(Sales!C476, Products!A:A, 0)</f>
        <v/>
      </c>
      <c r="G476">
        <f>OFFSET(Sales!E476,1,0)</f>
        <v/>
      </c>
      <c r="H476">
        <f>IF(AND(Sales!D476*Sales!E476&gt;5000, INDEX(Products!C:C, MATCH(Sales!C476, Products!A:A, 0))="Electronics"),"High Value","Normal")</f>
        <v/>
      </c>
    </row>
    <row r="477">
      <c r="A477">
        <f>Sales!A477</f>
        <v/>
      </c>
      <c r="B477">
        <f>VLOOKUP(Sales!C477,Products!A:E,2,FALSE)</f>
        <v/>
      </c>
      <c r="C477">
        <f>INDEX(Products!C:C, MATCH(Sales!C477, Products!A:A, 0))</f>
        <v/>
      </c>
      <c r="D477">
        <f>XLOOKUP(Sales!C477, Products!A:A, Products!D:D)</f>
        <v/>
      </c>
      <c r="E477">
        <f>Sales!D477*Sales!E477</f>
        <v/>
      </c>
      <c r="F477">
        <f>MATCH(Sales!C477, Products!A:A, 0)</f>
        <v/>
      </c>
      <c r="G477">
        <f>OFFSET(Sales!E477,1,0)</f>
        <v/>
      </c>
      <c r="H477">
        <f>IF(AND(Sales!D477*Sales!E477&gt;5000, INDEX(Products!C:C, MATCH(Sales!C477, Products!A:A, 0))="Electronics"),"High Value","Normal")</f>
        <v/>
      </c>
    </row>
    <row r="478">
      <c r="A478">
        <f>Sales!A478</f>
        <v/>
      </c>
      <c r="B478">
        <f>VLOOKUP(Sales!C478,Products!A:E,2,FALSE)</f>
        <v/>
      </c>
      <c r="C478">
        <f>INDEX(Products!C:C, MATCH(Sales!C478, Products!A:A, 0))</f>
        <v/>
      </c>
      <c r="D478">
        <f>XLOOKUP(Sales!C478, Products!A:A, Products!D:D)</f>
        <v/>
      </c>
      <c r="E478">
        <f>Sales!D478*Sales!E478</f>
        <v/>
      </c>
      <c r="F478">
        <f>MATCH(Sales!C478, Products!A:A, 0)</f>
        <v/>
      </c>
      <c r="G478">
        <f>OFFSET(Sales!E478,1,0)</f>
        <v/>
      </c>
      <c r="H478">
        <f>IF(AND(Sales!D478*Sales!E478&gt;5000, INDEX(Products!C:C, MATCH(Sales!C478, Products!A:A, 0))="Electronics"),"High Value","Normal")</f>
        <v/>
      </c>
    </row>
    <row r="479">
      <c r="A479">
        <f>Sales!A479</f>
        <v/>
      </c>
      <c r="B479">
        <f>VLOOKUP(Sales!C479,Products!A:E,2,FALSE)</f>
        <v/>
      </c>
      <c r="C479">
        <f>INDEX(Products!C:C, MATCH(Sales!C479, Products!A:A, 0))</f>
        <v/>
      </c>
      <c r="D479">
        <f>XLOOKUP(Sales!C479, Products!A:A, Products!D:D)</f>
        <v/>
      </c>
      <c r="E479">
        <f>Sales!D479*Sales!E479</f>
        <v/>
      </c>
      <c r="F479">
        <f>MATCH(Sales!C479, Products!A:A, 0)</f>
        <v/>
      </c>
      <c r="G479">
        <f>OFFSET(Sales!E479,1,0)</f>
        <v/>
      </c>
      <c r="H479">
        <f>IF(AND(Sales!D479*Sales!E479&gt;5000, INDEX(Products!C:C, MATCH(Sales!C479, Products!A:A, 0))="Electronics"),"High Value","Normal")</f>
        <v/>
      </c>
    </row>
    <row r="480">
      <c r="A480">
        <f>Sales!A480</f>
        <v/>
      </c>
      <c r="B480">
        <f>VLOOKUP(Sales!C480,Products!A:E,2,FALSE)</f>
        <v/>
      </c>
      <c r="C480">
        <f>INDEX(Products!C:C, MATCH(Sales!C480, Products!A:A, 0))</f>
        <v/>
      </c>
      <c r="D480">
        <f>XLOOKUP(Sales!C480, Products!A:A, Products!D:D)</f>
        <v/>
      </c>
      <c r="E480">
        <f>Sales!D480*Sales!E480</f>
        <v/>
      </c>
      <c r="F480">
        <f>MATCH(Sales!C480, Products!A:A, 0)</f>
        <v/>
      </c>
      <c r="G480">
        <f>OFFSET(Sales!E480,1,0)</f>
        <v/>
      </c>
      <c r="H480">
        <f>IF(AND(Sales!D480*Sales!E480&gt;5000, INDEX(Products!C:C, MATCH(Sales!C480, Products!A:A, 0))="Electronics"),"High Value","Normal")</f>
        <v/>
      </c>
    </row>
    <row r="481">
      <c r="A481">
        <f>Sales!A481</f>
        <v/>
      </c>
      <c r="B481">
        <f>VLOOKUP(Sales!C481,Products!A:E,2,FALSE)</f>
        <v/>
      </c>
      <c r="C481">
        <f>INDEX(Products!C:C, MATCH(Sales!C481, Products!A:A, 0))</f>
        <v/>
      </c>
      <c r="D481">
        <f>XLOOKUP(Sales!C481, Products!A:A, Products!D:D)</f>
        <v/>
      </c>
      <c r="E481">
        <f>Sales!D481*Sales!E481</f>
        <v/>
      </c>
      <c r="F481">
        <f>MATCH(Sales!C481, Products!A:A, 0)</f>
        <v/>
      </c>
      <c r="G481">
        <f>OFFSET(Sales!E481,1,0)</f>
        <v/>
      </c>
      <c r="H481">
        <f>IF(AND(Sales!D481*Sales!E481&gt;5000, INDEX(Products!C:C, MATCH(Sales!C481, Products!A:A, 0))="Electronics"),"High Value","Normal")</f>
        <v/>
      </c>
    </row>
    <row r="482">
      <c r="A482">
        <f>Sales!A482</f>
        <v/>
      </c>
      <c r="B482">
        <f>VLOOKUP(Sales!C482,Products!A:E,2,FALSE)</f>
        <v/>
      </c>
      <c r="C482">
        <f>INDEX(Products!C:C, MATCH(Sales!C482, Products!A:A, 0))</f>
        <v/>
      </c>
      <c r="D482">
        <f>XLOOKUP(Sales!C482, Products!A:A, Products!D:D)</f>
        <v/>
      </c>
      <c r="E482">
        <f>Sales!D482*Sales!E482</f>
        <v/>
      </c>
      <c r="F482">
        <f>MATCH(Sales!C482, Products!A:A, 0)</f>
        <v/>
      </c>
      <c r="G482">
        <f>OFFSET(Sales!E482,1,0)</f>
        <v/>
      </c>
      <c r="H482">
        <f>IF(AND(Sales!D482*Sales!E482&gt;5000, INDEX(Products!C:C, MATCH(Sales!C482, Products!A:A, 0))="Electronics"),"High Value","Normal")</f>
        <v/>
      </c>
    </row>
    <row r="483">
      <c r="A483">
        <f>Sales!A483</f>
        <v/>
      </c>
      <c r="B483">
        <f>VLOOKUP(Sales!C483,Products!A:E,2,FALSE)</f>
        <v/>
      </c>
      <c r="C483">
        <f>INDEX(Products!C:C, MATCH(Sales!C483, Products!A:A, 0))</f>
        <v/>
      </c>
      <c r="D483">
        <f>XLOOKUP(Sales!C483, Products!A:A, Products!D:D)</f>
        <v/>
      </c>
      <c r="E483">
        <f>Sales!D483*Sales!E483</f>
        <v/>
      </c>
      <c r="F483">
        <f>MATCH(Sales!C483, Products!A:A, 0)</f>
        <v/>
      </c>
      <c r="G483">
        <f>OFFSET(Sales!E483,1,0)</f>
        <v/>
      </c>
      <c r="H483">
        <f>IF(AND(Sales!D483*Sales!E483&gt;5000, INDEX(Products!C:C, MATCH(Sales!C483, Products!A:A, 0))="Electronics"),"High Value","Normal")</f>
        <v/>
      </c>
    </row>
    <row r="484">
      <c r="A484">
        <f>Sales!A484</f>
        <v/>
      </c>
      <c r="B484">
        <f>VLOOKUP(Sales!C484,Products!A:E,2,FALSE)</f>
        <v/>
      </c>
      <c r="C484">
        <f>INDEX(Products!C:C, MATCH(Sales!C484, Products!A:A, 0))</f>
        <v/>
      </c>
      <c r="D484">
        <f>XLOOKUP(Sales!C484, Products!A:A, Products!D:D)</f>
        <v/>
      </c>
      <c r="E484">
        <f>Sales!D484*Sales!E484</f>
        <v/>
      </c>
      <c r="F484">
        <f>MATCH(Sales!C484, Products!A:A, 0)</f>
        <v/>
      </c>
      <c r="G484">
        <f>OFFSET(Sales!E484,1,0)</f>
        <v/>
      </c>
      <c r="H484">
        <f>IF(AND(Sales!D484*Sales!E484&gt;5000, INDEX(Products!C:C, MATCH(Sales!C484, Products!A:A, 0))="Electronics"),"High Value","Normal")</f>
        <v/>
      </c>
    </row>
    <row r="485">
      <c r="A485">
        <f>Sales!A485</f>
        <v/>
      </c>
      <c r="B485">
        <f>VLOOKUP(Sales!C485,Products!A:E,2,FALSE)</f>
        <v/>
      </c>
      <c r="C485">
        <f>INDEX(Products!C:C, MATCH(Sales!C485, Products!A:A, 0))</f>
        <v/>
      </c>
      <c r="D485">
        <f>XLOOKUP(Sales!C485, Products!A:A, Products!D:D)</f>
        <v/>
      </c>
      <c r="E485">
        <f>Sales!D485*Sales!E485</f>
        <v/>
      </c>
      <c r="F485">
        <f>MATCH(Sales!C485, Products!A:A, 0)</f>
        <v/>
      </c>
      <c r="G485">
        <f>OFFSET(Sales!E485,1,0)</f>
        <v/>
      </c>
      <c r="H485">
        <f>IF(AND(Sales!D485*Sales!E485&gt;5000, INDEX(Products!C:C, MATCH(Sales!C485, Products!A:A, 0))="Electronics"),"High Value","Normal")</f>
        <v/>
      </c>
    </row>
    <row r="486">
      <c r="A486">
        <f>Sales!A486</f>
        <v/>
      </c>
      <c r="B486">
        <f>VLOOKUP(Sales!C486,Products!A:E,2,FALSE)</f>
        <v/>
      </c>
      <c r="C486">
        <f>INDEX(Products!C:C, MATCH(Sales!C486, Products!A:A, 0))</f>
        <v/>
      </c>
      <c r="D486">
        <f>XLOOKUP(Sales!C486, Products!A:A, Products!D:D)</f>
        <v/>
      </c>
      <c r="E486">
        <f>Sales!D486*Sales!E486</f>
        <v/>
      </c>
      <c r="F486">
        <f>MATCH(Sales!C486, Products!A:A, 0)</f>
        <v/>
      </c>
      <c r="G486">
        <f>OFFSET(Sales!E486,1,0)</f>
        <v/>
      </c>
      <c r="H486">
        <f>IF(AND(Sales!D486*Sales!E486&gt;5000, INDEX(Products!C:C, MATCH(Sales!C486, Products!A:A, 0))="Electronics"),"High Value","Normal")</f>
        <v/>
      </c>
    </row>
    <row r="487">
      <c r="A487">
        <f>Sales!A487</f>
        <v/>
      </c>
      <c r="B487">
        <f>VLOOKUP(Sales!C487,Products!A:E,2,FALSE)</f>
        <v/>
      </c>
      <c r="C487">
        <f>INDEX(Products!C:C, MATCH(Sales!C487, Products!A:A, 0))</f>
        <v/>
      </c>
      <c r="D487">
        <f>XLOOKUP(Sales!C487, Products!A:A, Products!D:D)</f>
        <v/>
      </c>
      <c r="E487">
        <f>Sales!D487*Sales!E487</f>
        <v/>
      </c>
      <c r="F487">
        <f>MATCH(Sales!C487, Products!A:A, 0)</f>
        <v/>
      </c>
      <c r="G487">
        <f>OFFSET(Sales!E487,1,0)</f>
        <v/>
      </c>
      <c r="H487">
        <f>IF(AND(Sales!D487*Sales!E487&gt;5000, INDEX(Products!C:C, MATCH(Sales!C487, Products!A:A, 0))="Electronics"),"High Value","Normal")</f>
        <v/>
      </c>
    </row>
    <row r="488">
      <c r="A488">
        <f>Sales!A488</f>
        <v/>
      </c>
      <c r="B488">
        <f>VLOOKUP(Sales!C488,Products!A:E,2,FALSE)</f>
        <v/>
      </c>
      <c r="C488">
        <f>INDEX(Products!C:C, MATCH(Sales!C488, Products!A:A, 0))</f>
        <v/>
      </c>
      <c r="D488">
        <f>XLOOKUP(Sales!C488, Products!A:A, Products!D:D)</f>
        <v/>
      </c>
      <c r="E488">
        <f>Sales!D488*Sales!E488</f>
        <v/>
      </c>
      <c r="F488">
        <f>MATCH(Sales!C488, Products!A:A, 0)</f>
        <v/>
      </c>
      <c r="G488">
        <f>OFFSET(Sales!E488,1,0)</f>
        <v/>
      </c>
      <c r="H488">
        <f>IF(AND(Sales!D488*Sales!E488&gt;5000, INDEX(Products!C:C, MATCH(Sales!C488, Products!A:A, 0))="Electronics"),"High Value","Normal")</f>
        <v/>
      </c>
    </row>
    <row r="489">
      <c r="A489">
        <f>Sales!A489</f>
        <v/>
      </c>
      <c r="B489">
        <f>VLOOKUP(Sales!C489,Products!A:E,2,FALSE)</f>
        <v/>
      </c>
      <c r="C489">
        <f>INDEX(Products!C:C, MATCH(Sales!C489, Products!A:A, 0))</f>
        <v/>
      </c>
      <c r="D489">
        <f>XLOOKUP(Sales!C489, Products!A:A, Products!D:D)</f>
        <v/>
      </c>
      <c r="E489">
        <f>Sales!D489*Sales!E489</f>
        <v/>
      </c>
      <c r="F489">
        <f>MATCH(Sales!C489, Products!A:A, 0)</f>
        <v/>
      </c>
      <c r="G489">
        <f>OFFSET(Sales!E489,1,0)</f>
        <v/>
      </c>
      <c r="H489">
        <f>IF(AND(Sales!D489*Sales!E489&gt;5000, INDEX(Products!C:C, MATCH(Sales!C489, Products!A:A, 0))="Electronics"),"High Value","Normal")</f>
        <v/>
      </c>
    </row>
    <row r="490">
      <c r="A490">
        <f>Sales!A490</f>
        <v/>
      </c>
      <c r="B490">
        <f>VLOOKUP(Sales!C490,Products!A:E,2,FALSE)</f>
        <v/>
      </c>
      <c r="C490">
        <f>INDEX(Products!C:C, MATCH(Sales!C490, Products!A:A, 0))</f>
        <v/>
      </c>
      <c r="D490">
        <f>XLOOKUP(Sales!C490, Products!A:A, Products!D:D)</f>
        <v/>
      </c>
      <c r="E490">
        <f>Sales!D490*Sales!E490</f>
        <v/>
      </c>
      <c r="F490">
        <f>MATCH(Sales!C490, Products!A:A, 0)</f>
        <v/>
      </c>
      <c r="G490">
        <f>OFFSET(Sales!E490,1,0)</f>
        <v/>
      </c>
      <c r="H490">
        <f>IF(AND(Sales!D490*Sales!E490&gt;5000, INDEX(Products!C:C, MATCH(Sales!C490, Products!A:A, 0))="Electronics"),"High Value","Normal")</f>
        <v/>
      </c>
    </row>
    <row r="491">
      <c r="A491">
        <f>Sales!A491</f>
        <v/>
      </c>
      <c r="B491">
        <f>VLOOKUP(Sales!C491,Products!A:E,2,FALSE)</f>
        <v/>
      </c>
      <c r="C491">
        <f>INDEX(Products!C:C, MATCH(Sales!C491, Products!A:A, 0))</f>
        <v/>
      </c>
      <c r="D491">
        <f>XLOOKUP(Sales!C491, Products!A:A, Products!D:D)</f>
        <v/>
      </c>
      <c r="E491">
        <f>Sales!D491*Sales!E491</f>
        <v/>
      </c>
      <c r="F491">
        <f>MATCH(Sales!C491, Products!A:A, 0)</f>
        <v/>
      </c>
      <c r="G491">
        <f>OFFSET(Sales!E491,1,0)</f>
        <v/>
      </c>
      <c r="H491">
        <f>IF(AND(Sales!D491*Sales!E491&gt;5000, INDEX(Products!C:C, MATCH(Sales!C491, Products!A:A, 0))="Electronics"),"High Value","Normal")</f>
        <v/>
      </c>
    </row>
    <row r="492">
      <c r="A492">
        <f>Sales!A492</f>
        <v/>
      </c>
      <c r="B492">
        <f>VLOOKUP(Sales!C492,Products!A:E,2,FALSE)</f>
        <v/>
      </c>
      <c r="C492">
        <f>INDEX(Products!C:C, MATCH(Sales!C492, Products!A:A, 0))</f>
        <v/>
      </c>
      <c r="D492">
        <f>XLOOKUP(Sales!C492, Products!A:A, Products!D:D)</f>
        <v/>
      </c>
      <c r="E492">
        <f>Sales!D492*Sales!E492</f>
        <v/>
      </c>
      <c r="F492">
        <f>MATCH(Sales!C492, Products!A:A, 0)</f>
        <v/>
      </c>
      <c r="G492">
        <f>OFFSET(Sales!E492,1,0)</f>
        <v/>
      </c>
      <c r="H492">
        <f>IF(AND(Sales!D492*Sales!E492&gt;5000, INDEX(Products!C:C, MATCH(Sales!C492, Products!A:A, 0))="Electronics"),"High Value","Normal")</f>
        <v/>
      </c>
    </row>
    <row r="493">
      <c r="A493">
        <f>Sales!A493</f>
        <v/>
      </c>
      <c r="B493">
        <f>VLOOKUP(Sales!C493,Products!A:E,2,FALSE)</f>
        <v/>
      </c>
      <c r="C493">
        <f>INDEX(Products!C:C, MATCH(Sales!C493, Products!A:A, 0))</f>
        <v/>
      </c>
      <c r="D493">
        <f>XLOOKUP(Sales!C493, Products!A:A, Products!D:D)</f>
        <v/>
      </c>
      <c r="E493">
        <f>Sales!D493*Sales!E493</f>
        <v/>
      </c>
      <c r="F493">
        <f>MATCH(Sales!C493, Products!A:A, 0)</f>
        <v/>
      </c>
      <c r="G493">
        <f>OFFSET(Sales!E493,1,0)</f>
        <v/>
      </c>
      <c r="H493">
        <f>IF(AND(Sales!D493*Sales!E493&gt;5000, INDEX(Products!C:C, MATCH(Sales!C493, Products!A:A, 0))="Electronics"),"High Value","Normal")</f>
        <v/>
      </c>
    </row>
    <row r="494">
      <c r="A494">
        <f>Sales!A494</f>
        <v/>
      </c>
      <c r="B494">
        <f>VLOOKUP(Sales!C494,Products!A:E,2,FALSE)</f>
        <v/>
      </c>
      <c r="C494">
        <f>INDEX(Products!C:C, MATCH(Sales!C494, Products!A:A, 0))</f>
        <v/>
      </c>
      <c r="D494">
        <f>XLOOKUP(Sales!C494, Products!A:A, Products!D:D)</f>
        <v/>
      </c>
      <c r="E494">
        <f>Sales!D494*Sales!E494</f>
        <v/>
      </c>
      <c r="F494">
        <f>MATCH(Sales!C494, Products!A:A, 0)</f>
        <v/>
      </c>
      <c r="G494">
        <f>OFFSET(Sales!E494,1,0)</f>
        <v/>
      </c>
      <c r="H494">
        <f>IF(AND(Sales!D494*Sales!E494&gt;5000, INDEX(Products!C:C, MATCH(Sales!C494, Products!A:A, 0))="Electronics"),"High Value","Normal")</f>
        <v/>
      </c>
    </row>
    <row r="495">
      <c r="A495">
        <f>Sales!A495</f>
        <v/>
      </c>
      <c r="B495">
        <f>VLOOKUP(Sales!C495,Products!A:E,2,FALSE)</f>
        <v/>
      </c>
      <c r="C495">
        <f>INDEX(Products!C:C, MATCH(Sales!C495, Products!A:A, 0))</f>
        <v/>
      </c>
      <c r="D495">
        <f>XLOOKUP(Sales!C495, Products!A:A, Products!D:D)</f>
        <v/>
      </c>
      <c r="E495">
        <f>Sales!D495*Sales!E495</f>
        <v/>
      </c>
      <c r="F495">
        <f>MATCH(Sales!C495, Products!A:A, 0)</f>
        <v/>
      </c>
      <c r="G495">
        <f>OFFSET(Sales!E495,1,0)</f>
        <v/>
      </c>
      <c r="H495">
        <f>IF(AND(Sales!D495*Sales!E495&gt;5000, INDEX(Products!C:C, MATCH(Sales!C495, Products!A:A, 0))="Electronics"),"High Value","Normal")</f>
        <v/>
      </c>
    </row>
    <row r="496">
      <c r="A496">
        <f>Sales!A496</f>
        <v/>
      </c>
      <c r="B496">
        <f>VLOOKUP(Sales!C496,Products!A:E,2,FALSE)</f>
        <v/>
      </c>
      <c r="C496">
        <f>INDEX(Products!C:C, MATCH(Sales!C496, Products!A:A, 0))</f>
        <v/>
      </c>
      <c r="D496">
        <f>XLOOKUP(Sales!C496, Products!A:A, Products!D:D)</f>
        <v/>
      </c>
      <c r="E496">
        <f>Sales!D496*Sales!E496</f>
        <v/>
      </c>
      <c r="F496">
        <f>MATCH(Sales!C496, Products!A:A, 0)</f>
        <v/>
      </c>
      <c r="G496">
        <f>OFFSET(Sales!E496,1,0)</f>
        <v/>
      </c>
      <c r="H496">
        <f>IF(AND(Sales!D496*Sales!E496&gt;5000, INDEX(Products!C:C, MATCH(Sales!C496, Products!A:A, 0))="Electronics"),"High Value","Normal")</f>
        <v/>
      </c>
    </row>
    <row r="497">
      <c r="A497">
        <f>Sales!A497</f>
        <v/>
      </c>
      <c r="B497">
        <f>VLOOKUP(Sales!C497,Products!A:E,2,FALSE)</f>
        <v/>
      </c>
      <c r="C497">
        <f>INDEX(Products!C:C, MATCH(Sales!C497, Products!A:A, 0))</f>
        <v/>
      </c>
      <c r="D497">
        <f>XLOOKUP(Sales!C497, Products!A:A, Products!D:D)</f>
        <v/>
      </c>
      <c r="E497">
        <f>Sales!D497*Sales!E497</f>
        <v/>
      </c>
      <c r="F497">
        <f>MATCH(Sales!C497, Products!A:A, 0)</f>
        <v/>
      </c>
      <c r="G497">
        <f>OFFSET(Sales!E497,1,0)</f>
        <v/>
      </c>
      <c r="H497">
        <f>IF(AND(Sales!D497*Sales!E497&gt;5000, INDEX(Products!C:C, MATCH(Sales!C497, Products!A:A, 0))="Electronics"),"High Value","Normal")</f>
        <v/>
      </c>
    </row>
    <row r="498">
      <c r="A498">
        <f>Sales!A498</f>
        <v/>
      </c>
      <c r="B498">
        <f>VLOOKUP(Sales!C498,Products!A:E,2,FALSE)</f>
        <v/>
      </c>
      <c r="C498">
        <f>INDEX(Products!C:C, MATCH(Sales!C498, Products!A:A, 0))</f>
        <v/>
      </c>
      <c r="D498">
        <f>XLOOKUP(Sales!C498, Products!A:A, Products!D:D)</f>
        <v/>
      </c>
      <c r="E498">
        <f>Sales!D498*Sales!E498</f>
        <v/>
      </c>
      <c r="F498">
        <f>MATCH(Sales!C498, Products!A:A, 0)</f>
        <v/>
      </c>
      <c r="G498">
        <f>OFFSET(Sales!E498,1,0)</f>
        <v/>
      </c>
      <c r="H498">
        <f>IF(AND(Sales!D498*Sales!E498&gt;5000, INDEX(Products!C:C, MATCH(Sales!C498, Products!A:A, 0))="Electronics"),"High Value","Normal")</f>
        <v/>
      </c>
    </row>
    <row r="499">
      <c r="A499">
        <f>Sales!A499</f>
        <v/>
      </c>
      <c r="B499">
        <f>VLOOKUP(Sales!C499,Products!A:E,2,FALSE)</f>
        <v/>
      </c>
      <c r="C499">
        <f>INDEX(Products!C:C, MATCH(Sales!C499, Products!A:A, 0))</f>
        <v/>
      </c>
      <c r="D499">
        <f>XLOOKUP(Sales!C499, Products!A:A, Products!D:D)</f>
        <v/>
      </c>
      <c r="E499">
        <f>Sales!D499*Sales!E499</f>
        <v/>
      </c>
      <c r="F499">
        <f>MATCH(Sales!C499, Products!A:A, 0)</f>
        <v/>
      </c>
      <c r="G499">
        <f>OFFSET(Sales!E499,1,0)</f>
        <v/>
      </c>
      <c r="H499">
        <f>IF(AND(Sales!D499*Sales!E499&gt;5000, INDEX(Products!C:C, MATCH(Sales!C499, Products!A:A, 0))="Electronics"),"High Value","Normal")</f>
        <v/>
      </c>
    </row>
    <row r="500">
      <c r="A500">
        <f>Sales!A500</f>
        <v/>
      </c>
      <c r="B500">
        <f>VLOOKUP(Sales!C500,Products!A:E,2,FALSE)</f>
        <v/>
      </c>
      <c r="C500">
        <f>INDEX(Products!C:C, MATCH(Sales!C500, Products!A:A, 0))</f>
        <v/>
      </c>
      <c r="D500">
        <f>XLOOKUP(Sales!C500, Products!A:A, Products!D:D)</f>
        <v/>
      </c>
      <c r="E500">
        <f>Sales!D500*Sales!E500</f>
        <v/>
      </c>
      <c r="F500">
        <f>MATCH(Sales!C500, Products!A:A, 0)</f>
        <v/>
      </c>
      <c r="G500">
        <f>OFFSET(Sales!E500,1,0)</f>
        <v/>
      </c>
      <c r="H500">
        <f>IF(AND(Sales!D500*Sales!E500&gt;5000, INDEX(Products!C:C, MATCH(Sales!C500, Products!A:A, 0))="Electronics"),"High Value","Normal")</f>
        <v/>
      </c>
    </row>
    <row r="501">
      <c r="A501">
        <f>Sales!A501</f>
        <v/>
      </c>
      <c r="B501">
        <f>VLOOKUP(Sales!C501,Products!A:E,2,FALSE)</f>
        <v/>
      </c>
      <c r="C501">
        <f>INDEX(Products!C:C, MATCH(Sales!C501, Products!A:A, 0))</f>
        <v/>
      </c>
      <c r="D501">
        <f>XLOOKUP(Sales!C501, Products!A:A, Products!D:D)</f>
        <v/>
      </c>
      <c r="E501">
        <f>Sales!D501*Sales!E501</f>
        <v/>
      </c>
      <c r="F501">
        <f>MATCH(Sales!C501, Products!A:A, 0)</f>
        <v/>
      </c>
      <c r="G501">
        <f>OFFSET(Sales!E501,1,0)</f>
        <v/>
      </c>
      <c r="H501">
        <f>IF(AND(Sales!D501*Sales!E501&gt;5000, INDEX(Products!C:C, MATCH(Sales!C501, Products!A:A, 0))="Electronics"),"High Value","Normal")</f>
        <v/>
      </c>
    </row>
    <row r="502">
      <c r="A502">
        <f>Sales!A502</f>
        <v/>
      </c>
      <c r="B502">
        <f>VLOOKUP(Sales!C502,Products!A:E,2,FALSE)</f>
        <v/>
      </c>
      <c r="C502">
        <f>INDEX(Products!C:C, MATCH(Sales!C502, Products!A:A, 0))</f>
        <v/>
      </c>
      <c r="D502">
        <f>XLOOKUP(Sales!C502, Products!A:A, Products!D:D)</f>
        <v/>
      </c>
      <c r="E502">
        <f>Sales!D502*Sales!E502</f>
        <v/>
      </c>
      <c r="F502">
        <f>MATCH(Sales!C502, Products!A:A, 0)</f>
        <v/>
      </c>
      <c r="G502">
        <f>OFFSET(Sales!E502,1,0)</f>
        <v/>
      </c>
      <c r="H502">
        <f>IF(AND(Sales!D502*Sales!E502&gt;5000, INDEX(Products!C:C, MATCH(Sales!C502, Products!A:A, 0))="Electronics"),"High Value","Normal")</f>
        <v/>
      </c>
    </row>
    <row r="503">
      <c r="A503">
        <f>Sales!A503</f>
        <v/>
      </c>
      <c r="B503">
        <f>VLOOKUP(Sales!C503,Products!A:E,2,FALSE)</f>
        <v/>
      </c>
      <c r="C503">
        <f>INDEX(Products!C:C, MATCH(Sales!C503, Products!A:A, 0))</f>
        <v/>
      </c>
      <c r="D503">
        <f>XLOOKUP(Sales!C503, Products!A:A, Products!D:D)</f>
        <v/>
      </c>
      <c r="E503">
        <f>Sales!D503*Sales!E503</f>
        <v/>
      </c>
      <c r="F503">
        <f>MATCH(Sales!C503, Products!A:A, 0)</f>
        <v/>
      </c>
      <c r="G503">
        <f>OFFSET(Sales!E503,1,0)</f>
        <v/>
      </c>
      <c r="H503">
        <f>IF(AND(Sales!D503*Sales!E503&gt;5000, INDEX(Products!C:C, MATCH(Sales!C503, Products!A:A, 0))="Electronics"),"High Value","Normal")</f>
        <v/>
      </c>
    </row>
    <row r="504">
      <c r="A504">
        <f>Sales!A504</f>
        <v/>
      </c>
      <c r="B504">
        <f>VLOOKUP(Sales!C504,Products!A:E,2,FALSE)</f>
        <v/>
      </c>
      <c r="C504">
        <f>INDEX(Products!C:C, MATCH(Sales!C504, Products!A:A, 0))</f>
        <v/>
      </c>
      <c r="D504">
        <f>XLOOKUP(Sales!C504, Products!A:A, Products!D:D)</f>
        <v/>
      </c>
      <c r="E504">
        <f>Sales!D504*Sales!E504</f>
        <v/>
      </c>
      <c r="F504">
        <f>MATCH(Sales!C504, Products!A:A, 0)</f>
        <v/>
      </c>
      <c r="G504">
        <f>OFFSET(Sales!E504,1,0)</f>
        <v/>
      </c>
      <c r="H504">
        <f>IF(AND(Sales!D504*Sales!E504&gt;5000, INDEX(Products!C:C, MATCH(Sales!C504, Products!A:A, 0))="Electronics"),"High Value","Normal")</f>
        <v/>
      </c>
    </row>
    <row r="505">
      <c r="A505">
        <f>Sales!A505</f>
        <v/>
      </c>
      <c r="B505">
        <f>VLOOKUP(Sales!C505,Products!A:E,2,FALSE)</f>
        <v/>
      </c>
      <c r="C505">
        <f>INDEX(Products!C:C, MATCH(Sales!C505, Products!A:A, 0))</f>
        <v/>
      </c>
      <c r="D505">
        <f>XLOOKUP(Sales!C505, Products!A:A, Products!D:D)</f>
        <v/>
      </c>
      <c r="E505">
        <f>Sales!D505*Sales!E505</f>
        <v/>
      </c>
      <c r="F505">
        <f>MATCH(Sales!C505, Products!A:A, 0)</f>
        <v/>
      </c>
      <c r="G505">
        <f>OFFSET(Sales!E505,1,0)</f>
        <v/>
      </c>
      <c r="H505">
        <f>IF(AND(Sales!D505*Sales!E505&gt;5000, INDEX(Products!C:C, MATCH(Sales!C505, Products!A:A, 0))="Electronics"),"High Value","Normal")</f>
        <v/>
      </c>
    </row>
    <row r="506">
      <c r="A506">
        <f>Sales!A506</f>
        <v/>
      </c>
      <c r="B506">
        <f>VLOOKUP(Sales!C506,Products!A:E,2,FALSE)</f>
        <v/>
      </c>
      <c r="C506">
        <f>INDEX(Products!C:C, MATCH(Sales!C506, Products!A:A, 0))</f>
        <v/>
      </c>
      <c r="D506">
        <f>XLOOKUP(Sales!C506, Products!A:A, Products!D:D)</f>
        <v/>
      </c>
      <c r="E506">
        <f>Sales!D506*Sales!E506</f>
        <v/>
      </c>
      <c r="F506">
        <f>MATCH(Sales!C506, Products!A:A, 0)</f>
        <v/>
      </c>
      <c r="G506">
        <f>OFFSET(Sales!E506,1,0)</f>
        <v/>
      </c>
      <c r="H506">
        <f>IF(AND(Sales!D506*Sales!E506&gt;5000, INDEX(Products!C:C, MATCH(Sales!C506, Products!A:A, 0))="Electronics"),"High Value","Normal")</f>
        <v/>
      </c>
    </row>
    <row r="507">
      <c r="A507">
        <f>Sales!A507</f>
        <v/>
      </c>
      <c r="B507">
        <f>VLOOKUP(Sales!C507,Products!A:E,2,FALSE)</f>
        <v/>
      </c>
      <c r="C507">
        <f>INDEX(Products!C:C, MATCH(Sales!C507, Products!A:A, 0))</f>
        <v/>
      </c>
      <c r="D507">
        <f>XLOOKUP(Sales!C507, Products!A:A, Products!D:D)</f>
        <v/>
      </c>
      <c r="E507">
        <f>Sales!D507*Sales!E507</f>
        <v/>
      </c>
      <c r="F507">
        <f>MATCH(Sales!C507, Products!A:A, 0)</f>
        <v/>
      </c>
      <c r="G507">
        <f>OFFSET(Sales!E507,1,0)</f>
        <v/>
      </c>
      <c r="H507">
        <f>IF(AND(Sales!D507*Sales!E507&gt;5000, INDEX(Products!C:C, MATCH(Sales!C507, Products!A:A, 0))="Electronics"),"High Value","Normal")</f>
        <v/>
      </c>
    </row>
    <row r="508">
      <c r="A508">
        <f>Sales!A508</f>
        <v/>
      </c>
      <c r="B508">
        <f>VLOOKUP(Sales!C508,Products!A:E,2,FALSE)</f>
        <v/>
      </c>
      <c r="C508">
        <f>INDEX(Products!C:C, MATCH(Sales!C508, Products!A:A, 0))</f>
        <v/>
      </c>
      <c r="D508">
        <f>XLOOKUP(Sales!C508, Products!A:A, Products!D:D)</f>
        <v/>
      </c>
      <c r="E508">
        <f>Sales!D508*Sales!E508</f>
        <v/>
      </c>
      <c r="F508">
        <f>MATCH(Sales!C508, Products!A:A, 0)</f>
        <v/>
      </c>
      <c r="G508">
        <f>OFFSET(Sales!E508,1,0)</f>
        <v/>
      </c>
      <c r="H508">
        <f>IF(AND(Sales!D508*Sales!E508&gt;5000, INDEX(Products!C:C, MATCH(Sales!C508, Products!A:A, 0))="Electronics"),"High Value","Normal")</f>
        <v/>
      </c>
    </row>
    <row r="509">
      <c r="A509">
        <f>Sales!A509</f>
        <v/>
      </c>
      <c r="B509">
        <f>VLOOKUP(Sales!C509,Products!A:E,2,FALSE)</f>
        <v/>
      </c>
      <c r="C509">
        <f>INDEX(Products!C:C, MATCH(Sales!C509, Products!A:A, 0))</f>
        <v/>
      </c>
      <c r="D509">
        <f>XLOOKUP(Sales!C509, Products!A:A, Products!D:D)</f>
        <v/>
      </c>
      <c r="E509">
        <f>Sales!D509*Sales!E509</f>
        <v/>
      </c>
      <c r="F509">
        <f>MATCH(Sales!C509, Products!A:A, 0)</f>
        <v/>
      </c>
      <c r="G509">
        <f>OFFSET(Sales!E509,1,0)</f>
        <v/>
      </c>
      <c r="H509">
        <f>IF(AND(Sales!D509*Sales!E509&gt;5000, INDEX(Products!C:C, MATCH(Sales!C509, Products!A:A, 0))="Electronics"),"High Value","Normal")</f>
        <v/>
      </c>
    </row>
    <row r="510">
      <c r="A510">
        <f>Sales!A510</f>
        <v/>
      </c>
      <c r="B510">
        <f>VLOOKUP(Sales!C510,Products!A:E,2,FALSE)</f>
        <v/>
      </c>
      <c r="C510">
        <f>INDEX(Products!C:C, MATCH(Sales!C510, Products!A:A, 0))</f>
        <v/>
      </c>
      <c r="D510">
        <f>XLOOKUP(Sales!C510, Products!A:A, Products!D:D)</f>
        <v/>
      </c>
      <c r="E510">
        <f>Sales!D510*Sales!E510</f>
        <v/>
      </c>
      <c r="F510">
        <f>MATCH(Sales!C510, Products!A:A, 0)</f>
        <v/>
      </c>
      <c r="G510">
        <f>OFFSET(Sales!E510,1,0)</f>
        <v/>
      </c>
      <c r="H510">
        <f>IF(AND(Sales!D510*Sales!E510&gt;5000, INDEX(Products!C:C, MATCH(Sales!C510, Products!A:A, 0))="Electronics"),"High Value","Normal")</f>
        <v/>
      </c>
    </row>
    <row r="511">
      <c r="A511">
        <f>Sales!A511</f>
        <v/>
      </c>
      <c r="B511">
        <f>VLOOKUP(Sales!C511,Products!A:E,2,FALSE)</f>
        <v/>
      </c>
      <c r="C511">
        <f>INDEX(Products!C:C, MATCH(Sales!C511, Products!A:A, 0))</f>
        <v/>
      </c>
      <c r="D511">
        <f>XLOOKUP(Sales!C511, Products!A:A, Products!D:D)</f>
        <v/>
      </c>
      <c r="E511">
        <f>Sales!D511*Sales!E511</f>
        <v/>
      </c>
      <c r="F511">
        <f>MATCH(Sales!C511, Products!A:A, 0)</f>
        <v/>
      </c>
      <c r="G511">
        <f>OFFSET(Sales!E511,1,0)</f>
        <v/>
      </c>
      <c r="H511">
        <f>IF(AND(Sales!D511*Sales!E511&gt;5000, INDEX(Products!C:C, MATCH(Sales!C511, Products!A:A, 0))="Electronics"),"High Value","Normal")</f>
        <v/>
      </c>
    </row>
    <row r="512">
      <c r="A512">
        <f>Sales!A512</f>
        <v/>
      </c>
      <c r="B512">
        <f>VLOOKUP(Sales!C512,Products!A:E,2,FALSE)</f>
        <v/>
      </c>
      <c r="C512">
        <f>INDEX(Products!C:C, MATCH(Sales!C512, Products!A:A, 0))</f>
        <v/>
      </c>
      <c r="D512">
        <f>XLOOKUP(Sales!C512, Products!A:A, Products!D:D)</f>
        <v/>
      </c>
      <c r="E512">
        <f>Sales!D512*Sales!E512</f>
        <v/>
      </c>
      <c r="F512">
        <f>MATCH(Sales!C512, Products!A:A, 0)</f>
        <v/>
      </c>
      <c r="G512">
        <f>OFFSET(Sales!E512,1,0)</f>
        <v/>
      </c>
      <c r="H512">
        <f>IF(AND(Sales!D512*Sales!E512&gt;5000, INDEX(Products!C:C, MATCH(Sales!C512, Products!A:A, 0))="Electronics"),"High Value","Normal")</f>
        <v/>
      </c>
    </row>
    <row r="513">
      <c r="A513">
        <f>Sales!A513</f>
        <v/>
      </c>
      <c r="B513">
        <f>VLOOKUP(Sales!C513,Products!A:E,2,FALSE)</f>
        <v/>
      </c>
      <c r="C513">
        <f>INDEX(Products!C:C, MATCH(Sales!C513, Products!A:A, 0))</f>
        <v/>
      </c>
      <c r="D513">
        <f>XLOOKUP(Sales!C513, Products!A:A, Products!D:D)</f>
        <v/>
      </c>
      <c r="E513">
        <f>Sales!D513*Sales!E513</f>
        <v/>
      </c>
      <c r="F513">
        <f>MATCH(Sales!C513, Products!A:A, 0)</f>
        <v/>
      </c>
      <c r="G513">
        <f>OFFSET(Sales!E513,1,0)</f>
        <v/>
      </c>
      <c r="H513">
        <f>IF(AND(Sales!D513*Sales!E513&gt;5000, INDEX(Products!C:C, MATCH(Sales!C513, Products!A:A, 0))="Electronics"),"High Value","Normal")</f>
        <v/>
      </c>
    </row>
    <row r="514">
      <c r="A514">
        <f>Sales!A514</f>
        <v/>
      </c>
      <c r="B514">
        <f>VLOOKUP(Sales!C514,Products!A:E,2,FALSE)</f>
        <v/>
      </c>
      <c r="C514">
        <f>INDEX(Products!C:C, MATCH(Sales!C514, Products!A:A, 0))</f>
        <v/>
      </c>
      <c r="D514">
        <f>XLOOKUP(Sales!C514, Products!A:A, Products!D:D)</f>
        <v/>
      </c>
      <c r="E514">
        <f>Sales!D514*Sales!E514</f>
        <v/>
      </c>
      <c r="F514">
        <f>MATCH(Sales!C514, Products!A:A, 0)</f>
        <v/>
      </c>
      <c r="G514">
        <f>OFFSET(Sales!E514,1,0)</f>
        <v/>
      </c>
      <c r="H514">
        <f>IF(AND(Sales!D514*Sales!E514&gt;5000, INDEX(Products!C:C, MATCH(Sales!C514, Products!A:A, 0))="Electronics"),"High Value","Normal")</f>
        <v/>
      </c>
    </row>
    <row r="515">
      <c r="A515">
        <f>Sales!A515</f>
        <v/>
      </c>
      <c r="B515">
        <f>VLOOKUP(Sales!C515,Products!A:E,2,FALSE)</f>
        <v/>
      </c>
      <c r="C515">
        <f>INDEX(Products!C:C, MATCH(Sales!C515, Products!A:A, 0))</f>
        <v/>
      </c>
      <c r="D515">
        <f>XLOOKUP(Sales!C515, Products!A:A, Products!D:D)</f>
        <v/>
      </c>
      <c r="E515">
        <f>Sales!D515*Sales!E515</f>
        <v/>
      </c>
      <c r="F515">
        <f>MATCH(Sales!C515, Products!A:A, 0)</f>
        <v/>
      </c>
      <c r="G515">
        <f>OFFSET(Sales!E515,1,0)</f>
        <v/>
      </c>
      <c r="H515">
        <f>IF(AND(Sales!D515*Sales!E515&gt;5000, INDEX(Products!C:C, MATCH(Sales!C515, Products!A:A, 0))="Electronics"),"High Value","Normal")</f>
        <v/>
      </c>
    </row>
    <row r="516">
      <c r="A516">
        <f>Sales!A516</f>
        <v/>
      </c>
      <c r="B516">
        <f>VLOOKUP(Sales!C516,Products!A:E,2,FALSE)</f>
        <v/>
      </c>
      <c r="C516">
        <f>INDEX(Products!C:C, MATCH(Sales!C516, Products!A:A, 0))</f>
        <v/>
      </c>
      <c r="D516">
        <f>XLOOKUP(Sales!C516, Products!A:A, Products!D:D)</f>
        <v/>
      </c>
      <c r="E516">
        <f>Sales!D516*Sales!E516</f>
        <v/>
      </c>
      <c r="F516">
        <f>MATCH(Sales!C516, Products!A:A, 0)</f>
        <v/>
      </c>
      <c r="G516">
        <f>OFFSET(Sales!E516,1,0)</f>
        <v/>
      </c>
      <c r="H516">
        <f>IF(AND(Sales!D516*Sales!E516&gt;5000, INDEX(Products!C:C, MATCH(Sales!C516, Products!A:A, 0))="Electronics"),"High Value","Normal")</f>
        <v/>
      </c>
    </row>
    <row r="517">
      <c r="A517">
        <f>Sales!A517</f>
        <v/>
      </c>
      <c r="B517">
        <f>VLOOKUP(Sales!C517,Products!A:E,2,FALSE)</f>
        <v/>
      </c>
      <c r="C517">
        <f>INDEX(Products!C:C, MATCH(Sales!C517, Products!A:A, 0))</f>
        <v/>
      </c>
      <c r="D517">
        <f>XLOOKUP(Sales!C517, Products!A:A, Products!D:D)</f>
        <v/>
      </c>
      <c r="E517">
        <f>Sales!D517*Sales!E517</f>
        <v/>
      </c>
      <c r="F517">
        <f>MATCH(Sales!C517, Products!A:A, 0)</f>
        <v/>
      </c>
      <c r="G517">
        <f>OFFSET(Sales!E517,1,0)</f>
        <v/>
      </c>
      <c r="H517">
        <f>IF(AND(Sales!D517*Sales!E517&gt;5000, INDEX(Products!C:C, MATCH(Sales!C517, Products!A:A, 0))="Electronics"),"High Value","Normal")</f>
        <v/>
      </c>
    </row>
    <row r="518">
      <c r="A518">
        <f>Sales!A518</f>
        <v/>
      </c>
      <c r="B518">
        <f>VLOOKUP(Sales!C518,Products!A:E,2,FALSE)</f>
        <v/>
      </c>
      <c r="C518">
        <f>INDEX(Products!C:C, MATCH(Sales!C518, Products!A:A, 0))</f>
        <v/>
      </c>
      <c r="D518">
        <f>XLOOKUP(Sales!C518, Products!A:A, Products!D:D)</f>
        <v/>
      </c>
      <c r="E518">
        <f>Sales!D518*Sales!E518</f>
        <v/>
      </c>
      <c r="F518">
        <f>MATCH(Sales!C518, Products!A:A, 0)</f>
        <v/>
      </c>
      <c r="G518">
        <f>OFFSET(Sales!E518,1,0)</f>
        <v/>
      </c>
      <c r="H518">
        <f>IF(AND(Sales!D518*Sales!E518&gt;5000, INDEX(Products!C:C, MATCH(Sales!C518, Products!A:A, 0))="Electronics"),"High Value","Normal")</f>
        <v/>
      </c>
    </row>
    <row r="519">
      <c r="A519">
        <f>Sales!A519</f>
        <v/>
      </c>
      <c r="B519">
        <f>VLOOKUP(Sales!C519,Products!A:E,2,FALSE)</f>
        <v/>
      </c>
      <c r="C519">
        <f>INDEX(Products!C:C, MATCH(Sales!C519, Products!A:A, 0))</f>
        <v/>
      </c>
      <c r="D519">
        <f>XLOOKUP(Sales!C519, Products!A:A, Products!D:D)</f>
        <v/>
      </c>
      <c r="E519">
        <f>Sales!D519*Sales!E519</f>
        <v/>
      </c>
      <c r="F519">
        <f>MATCH(Sales!C519, Products!A:A, 0)</f>
        <v/>
      </c>
      <c r="G519">
        <f>OFFSET(Sales!E519,1,0)</f>
        <v/>
      </c>
      <c r="H519">
        <f>IF(AND(Sales!D519*Sales!E519&gt;5000, INDEX(Products!C:C, MATCH(Sales!C519, Products!A:A, 0))="Electronics"),"High Value","Normal")</f>
        <v/>
      </c>
    </row>
    <row r="520">
      <c r="A520">
        <f>Sales!A520</f>
        <v/>
      </c>
      <c r="B520">
        <f>VLOOKUP(Sales!C520,Products!A:E,2,FALSE)</f>
        <v/>
      </c>
      <c r="C520">
        <f>INDEX(Products!C:C, MATCH(Sales!C520, Products!A:A, 0))</f>
        <v/>
      </c>
      <c r="D520">
        <f>XLOOKUP(Sales!C520, Products!A:A, Products!D:D)</f>
        <v/>
      </c>
      <c r="E520">
        <f>Sales!D520*Sales!E520</f>
        <v/>
      </c>
      <c r="F520">
        <f>MATCH(Sales!C520, Products!A:A, 0)</f>
        <v/>
      </c>
      <c r="G520">
        <f>OFFSET(Sales!E520,1,0)</f>
        <v/>
      </c>
      <c r="H520">
        <f>IF(AND(Sales!D520*Sales!E520&gt;5000, INDEX(Products!C:C, MATCH(Sales!C520, Products!A:A, 0))="Electronics"),"High Value","Normal")</f>
        <v/>
      </c>
    </row>
    <row r="521">
      <c r="A521">
        <f>Sales!A521</f>
        <v/>
      </c>
      <c r="B521">
        <f>VLOOKUP(Sales!C521,Products!A:E,2,FALSE)</f>
        <v/>
      </c>
      <c r="C521">
        <f>INDEX(Products!C:C, MATCH(Sales!C521, Products!A:A, 0))</f>
        <v/>
      </c>
      <c r="D521">
        <f>XLOOKUP(Sales!C521, Products!A:A, Products!D:D)</f>
        <v/>
      </c>
      <c r="E521">
        <f>Sales!D521*Sales!E521</f>
        <v/>
      </c>
      <c r="F521">
        <f>MATCH(Sales!C521, Products!A:A, 0)</f>
        <v/>
      </c>
      <c r="G521">
        <f>OFFSET(Sales!E521,1,0)</f>
        <v/>
      </c>
      <c r="H521">
        <f>IF(AND(Sales!D521*Sales!E521&gt;5000, INDEX(Products!C:C, MATCH(Sales!C521, Products!A:A, 0))="Electronics"),"High Value","Normal")</f>
        <v/>
      </c>
    </row>
    <row r="522">
      <c r="A522">
        <f>Sales!A522</f>
        <v/>
      </c>
      <c r="B522">
        <f>VLOOKUP(Sales!C522,Products!A:E,2,FALSE)</f>
        <v/>
      </c>
      <c r="C522">
        <f>INDEX(Products!C:C, MATCH(Sales!C522, Products!A:A, 0))</f>
        <v/>
      </c>
      <c r="D522">
        <f>XLOOKUP(Sales!C522, Products!A:A, Products!D:D)</f>
        <v/>
      </c>
      <c r="E522">
        <f>Sales!D522*Sales!E522</f>
        <v/>
      </c>
      <c r="F522">
        <f>MATCH(Sales!C522, Products!A:A, 0)</f>
        <v/>
      </c>
      <c r="G522">
        <f>OFFSET(Sales!E522,1,0)</f>
        <v/>
      </c>
      <c r="H522">
        <f>IF(AND(Sales!D522*Sales!E522&gt;5000, INDEX(Products!C:C, MATCH(Sales!C522, Products!A:A, 0))="Electronics"),"High Value","Normal")</f>
        <v/>
      </c>
    </row>
    <row r="523">
      <c r="A523">
        <f>Sales!A523</f>
        <v/>
      </c>
      <c r="B523">
        <f>VLOOKUP(Sales!C523,Products!A:E,2,FALSE)</f>
        <v/>
      </c>
      <c r="C523">
        <f>INDEX(Products!C:C, MATCH(Sales!C523, Products!A:A, 0))</f>
        <v/>
      </c>
      <c r="D523">
        <f>XLOOKUP(Sales!C523, Products!A:A, Products!D:D)</f>
        <v/>
      </c>
      <c r="E523">
        <f>Sales!D523*Sales!E523</f>
        <v/>
      </c>
      <c r="F523">
        <f>MATCH(Sales!C523, Products!A:A, 0)</f>
        <v/>
      </c>
      <c r="G523">
        <f>OFFSET(Sales!E523,1,0)</f>
        <v/>
      </c>
      <c r="H523">
        <f>IF(AND(Sales!D523*Sales!E523&gt;5000, INDEX(Products!C:C, MATCH(Sales!C523, Products!A:A, 0))="Electronics"),"High Value","Normal")</f>
        <v/>
      </c>
    </row>
    <row r="524">
      <c r="A524">
        <f>Sales!A524</f>
        <v/>
      </c>
      <c r="B524">
        <f>VLOOKUP(Sales!C524,Products!A:E,2,FALSE)</f>
        <v/>
      </c>
      <c r="C524">
        <f>INDEX(Products!C:C, MATCH(Sales!C524, Products!A:A, 0))</f>
        <v/>
      </c>
      <c r="D524">
        <f>XLOOKUP(Sales!C524, Products!A:A, Products!D:D)</f>
        <v/>
      </c>
      <c r="E524">
        <f>Sales!D524*Sales!E524</f>
        <v/>
      </c>
      <c r="F524">
        <f>MATCH(Sales!C524, Products!A:A, 0)</f>
        <v/>
      </c>
      <c r="G524">
        <f>OFFSET(Sales!E524,1,0)</f>
        <v/>
      </c>
      <c r="H524">
        <f>IF(AND(Sales!D524*Sales!E524&gt;5000, INDEX(Products!C:C, MATCH(Sales!C524, Products!A:A, 0))="Electronics"),"High Value","Normal")</f>
        <v/>
      </c>
    </row>
    <row r="525">
      <c r="A525">
        <f>Sales!A525</f>
        <v/>
      </c>
      <c r="B525">
        <f>VLOOKUP(Sales!C525,Products!A:E,2,FALSE)</f>
        <v/>
      </c>
      <c r="C525">
        <f>INDEX(Products!C:C, MATCH(Sales!C525, Products!A:A, 0))</f>
        <v/>
      </c>
      <c r="D525">
        <f>XLOOKUP(Sales!C525, Products!A:A, Products!D:D)</f>
        <v/>
      </c>
      <c r="E525">
        <f>Sales!D525*Sales!E525</f>
        <v/>
      </c>
      <c r="F525">
        <f>MATCH(Sales!C525, Products!A:A, 0)</f>
        <v/>
      </c>
      <c r="G525">
        <f>OFFSET(Sales!E525,1,0)</f>
        <v/>
      </c>
      <c r="H525">
        <f>IF(AND(Sales!D525*Sales!E525&gt;5000, INDEX(Products!C:C, MATCH(Sales!C525, Products!A:A, 0))="Electronics"),"High Value","Normal")</f>
        <v/>
      </c>
    </row>
    <row r="526">
      <c r="A526">
        <f>Sales!A526</f>
        <v/>
      </c>
      <c r="B526">
        <f>VLOOKUP(Sales!C526,Products!A:E,2,FALSE)</f>
        <v/>
      </c>
      <c r="C526">
        <f>INDEX(Products!C:C, MATCH(Sales!C526, Products!A:A, 0))</f>
        <v/>
      </c>
      <c r="D526">
        <f>XLOOKUP(Sales!C526, Products!A:A, Products!D:D)</f>
        <v/>
      </c>
      <c r="E526">
        <f>Sales!D526*Sales!E526</f>
        <v/>
      </c>
      <c r="F526">
        <f>MATCH(Sales!C526, Products!A:A, 0)</f>
        <v/>
      </c>
      <c r="G526">
        <f>OFFSET(Sales!E526,1,0)</f>
        <v/>
      </c>
      <c r="H526">
        <f>IF(AND(Sales!D526*Sales!E526&gt;5000, INDEX(Products!C:C, MATCH(Sales!C526, Products!A:A, 0))="Electronics"),"High Value","Normal")</f>
        <v/>
      </c>
    </row>
    <row r="527">
      <c r="A527">
        <f>Sales!A527</f>
        <v/>
      </c>
      <c r="B527">
        <f>VLOOKUP(Sales!C527,Products!A:E,2,FALSE)</f>
        <v/>
      </c>
      <c r="C527">
        <f>INDEX(Products!C:C, MATCH(Sales!C527, Products!A:A, 0))</f>
        <v/>
      </c>
      <c r="D527">
        <f>XLOOKUP(Sales!C527, Products!A:A, Products!D:D)</f>
        <v/>
      </c>
      <c r="E527">
        <f>Sales!D527*Sales!E527</f>
        <v/>
      </c>
      <c r="F527">
        <f>MATCH(Sales!C527, Products!A:A, 0)</f>
        <v/>
      </c>
      <c r="G527">
        <f>OFFSET(Sales!E527,1,0)</f>
        <v/>
      </c>
      <c r="H527">
        <f>IF(AND(Sales!D527*Sales!E527&gt;5000, INDEX(Products!C:C, MATCH(Sales!C527, Products!A:A, 0))="Electronics"),"High Value","Normal")</f>
        <v/>
      </c>
    </row>
    <row r="528">
      <c r="A528">
        <f>Sales!A528</f>
        <v/>
      </c>
      <c r="B528">
        <f>VLOOKUP(Sales!C528,Products!A:E,2,FALSE)</f>
        <v/>
      </c>
      <c r="C528">
        <f>INDEX(Products!C:C, MATCH(Sales!C528, Products!A:A, 0))</f>
        <v/>
      </c>
      <c r="D528">
        <f>XLOOKUP(Sales!C528, Products!A:A, Products!D:D)</f>
        <v/>
      </c>
      <c r="E528">
        <f>Sales!D528*Sales!E528</f>
        <v/>
      </c>
      <c r="F528">
        <f>MATCH(Sales!C528, Products!A:A, 0)</f>
        <v/>
      </c>
      <c r="G528">
        <f>OFFSET(Sales!E528,1,0)</f>
        <v/>
      </c>
      <c r="H528">
        <f>IF(AND(Sales!D528*Sales!E528&gt;5000, INDEX(Products!C:C, MATCH(Sales!C528, Products!A:A, 0))="Electronics"),"High Value","Normal")</f>
        <v/>
      </c>
    </row>
    <row r="529">
      <c r="A529">
        <f>Sales!A529</f>
        <v/>
      </c>
      <c r="B529">
        <f>VLOOKUP(Sales!C529,Products!A:E,2,FALSE)</f>
        <v/>
      </c>
      <c r="C529">
        <f>INDEX(Products!C:C, MATCH(Sales!C529, Products!A:A, 0))</f>
        <v/>
      </c>
      <c r="D529">
        <f>XLOOKUP(Sales!C529, Products!A:A, Products!D:D)</f>
        <v/>
      </c>
      <c r="E529">
        <f>Sales!D529*Sales!E529</f>
        <v/>
      </c>
      <c r="F529">
        <f>MATCH(Sales!C529, Products!A:A, 0)</f>
        <v/>
      </c>
      <c r="G529">
        <f>OFFSET(Sales!E529,1,0)</f>
        <v/>
      </c>
      <c r="H529">
        <f>IF(AND(Sales!D529*Sales!E529&gt;5000, INDEX(Products!C:C, MATCH(Sales!C529, Products!A:A, 0))="Electronics"),"High Value","Normal")</f>
        <v/>
      </c>
    </row>
    <row r="530">
      <c r="A530">
        <f>Sales!A530</f>
        <v/>
      </c>
      <c r="B530">
        <f>VLOOKUP(Sales!C530,Products!A:E,2,FALSE)</f>
        <v/>
      </c>
      <c r="C530">
        <f>INDEX(Products!C:C, MATCH(Sales!C530, Products!A:A, 0))</f>
        <v/>
      </c>
      <c r="D530">
        <f>XLOOKUP(Sales!C530, Products!A:A, Products!D:D)</f>
        <v/>
      </c>
      <c r="E530">
        <f>Sales!D530*Sales!E530</f>
        <v/>
      </c>
      <c r="F530">
        <f>MATCH(Sales!C530, Products!A:A, 0)</f>
        <v/>
      </c>
      <c r="G530">
        <f>OFFSET(Sales!E530,1,0)</f>
        <v/>
      </c>
      <c r="H530">
        <f>IF(AND(Sales!D530*Sales!E530&gt;5000, INDEX(Products!C:C, MATCH(Sales!C530, Products!A:A, 0))="Electronics"),"High Value","Normal")</f>
        <v/>
      </c>
    </row>
    <row r="531">
      <c r="A531">
        <f>Sales!A531</f>
        <v/>
      </c>
      <c r="B531">
        <f>VLOOKUP(Sales!C531,Products!A:E,2,FALSE)</f>
        <v/>
      </c>
      <c r="C531">
        <f>INDEX(Products!C:C, MATCH(Sales!C531, Products!A:A, 0))</f>
        <v/>
      </c>
      <c r="D531">
        <f>XLOOKUP(Sales!C531, Products!A:A, Products!D:D)</f>
        <v/>
      </c>
      <c r="E531">
        <f>Sales!D531*Sales!E531</f>
        <v/>
      </c>
      <c r="F531">
        <f>MATCH(Sales!C531, Products!A:A, 0)</f>
        <v/>
      </c>
      <c r="G531">
        <f>OFFSET(Sales!E531,1,0)</f>
        <v/>
      </c>
      <c r="H531">
        <f>IF(AND(Sales!D531*Sales!E531&gt;5000, INDEX(Products!C:C, MATCH(Sales!C531, Products!A:A, 0))="Electronics"),"High Value","Normal")</f>
        <v/>
      </c>
    </row>
    <row r="532">
      <c r="A532">
        <f>Sales!A532</f>
        <v/>
      </c>
      <c r="B532">
        <f>VLOOKUP(Sales!C532,Products!A:E,2,FALSE)</f>
        <v/>
      </c>
      <c r="C532">
        <f>INDEX(Products!C:C, MATCH(Sales!C532, Products!A:A, 0))</f>
        <v/>
      </c>
      <c r="D532">
        <f>XLOOKUP(Sales!C532, Products!A:A, Products!D:D)</f>
        <v/>
      </c>
      <c r="E532">
        <f>Sales!D532*Sales!E532</f>
        <v/>
      </c>
      <c r="F532">
        <f>MATCH(Sales!C532, Products!A:A, 0)</f>
        <v/>
      </c>
      <c r="G532">
        <f>OFFSET(Sales!E532,1,0)</f>
        <v/>
      </c>
      <c r="H532">
        <f>IF(AND(Sales!D532*Sales!E532&gt;5000, INDEX(Products!C:C, MATCH(Sales!C532, Products!A:A, 0))="Electronics"),"High Value","Normal")</f>
        <v/>
      </c>
    </row>
    <row r="533">
      <c r="A533">
        <f>Sales!A533</f>
        <v/>
      </c>
      <c r="B533">
        <f>VLOOKUP(Sales!C533,Products!A:E,2,FALSE)</f>
        <v/>
      </c>
      <c r="C533">
        <f>INDEX(Products!C:C, MATCH(Sales!C533, Products!A:A, 0))</f>
        <v/>
      </c>
      <c r="D533">
        <f>XLOOKUP(Sales!C533, Products!A:A, Products!D:D)</f>
        <v/>
      </c>
      <c r="E533">
        <f>Sales!D533*Sales!E533</f>
        <v/>
      </c>
      <c r="F533">
        <f>MATCH(Sales!C533, Products!A:A, 0)</f>
        <v/>
      </c>
      <c r="G533">
        <f>OFFSET(Sales!E533,1,0)</f>
        <v/>
      </c>
      <c r="H533">
        <f>IF(AND(Sales!D533*Sales!E533&gt;5000, INDEX(Products!C:C, MATCH(Sales!C533, Products!A:A, 0))="Electronics"),"High Value","Normal")</f>
        <v/>
      </c>
    </row>
    <row r="534">
      <c r="A534">
        <f>Sales!A534</f>
        <v/>
      </c>
      <c r="B534">
        <f>VLOOKUP(Sales!C534,Products!A:E,2,FALSE)</f>
        <v/>
      </c>
      <c r="C534">
        <f>INDEX(Products!C:C, MATCH(Sales!C534, Products!A:A, 0))</f>
        <v/>
      </c>
      <c r="D534">
        <f>XLOOKUP(Sales!C534, Products!A:A, Products!D:D)</f>
        <v/>
      </c>
      <c r="E534">
        <f>Sales!D534*Sales!E534</f>
        <v/>
      </c>
      <c r="F534">
        <f>MATCH(Sales!C534, Products!A:A, 0)</f>
        <v/>
      </c>
      <c r="G534">
        <f>OFFSET(Sales!E534,1,0)</f>
        <v/>
      </c>
      <c r="H534">
        <f>IF(AND(Sales!D534*Sales!E534&gt;5000, INDEX(Products!C:C, MATCH(Sales!C534, Products!A:A, 0))="Electronics"),"High Value","Normal")</f>
        <v/>
      </c>
    </row>
    <row r="535">
      <c r="A535">
        <f>Sales!A535</f>
        <v/>
      </c>
      <c r="B535">
        <f>VLOOKUP(Sales!C535,Products!A:E,2,FALSE)</f>
        <v/>
      </c>
      <c r="C535">
        <f>INDEX(Products!C:C, MATCH(Sales!C535, Products!A:A, 0))</f>
        <v/>
      </c>
      <c r="D535">
        <f>XLOOKUP(Sales!C535, Products!A:A, Products!D:D)</f>
        <v/>
      </c>
      <c r="E535">
        <f>Sales!D535*Sales!E535</f>
        <v/>
      </c>
      <c r="F535">
        <f>MATCH(Sales!C535, Products!A:A, 0)</f>
        <v/>
      </c>
      <c r="G535">
        <f>OFFSET(Sales!E535,1,0)</f>
        <v/>
      </c>
      <c r="H535">
        <f>IF(AND(Sales!D535*Sales!E535&gt;5000, INDEX(Products!C:C, MATCH(Sales!C535, Products!A:A, 0))="Electronics"),"High Value","Normal")</f>
        <v/>
      </c>
    </row>
    <row r="536">
      <c r="A536">
        <f>Sales!A536</f>
        <v/>
      </c>
      <c r="B536">
        <f>VLOOKUP(Sales!C536,Products!A:E,2,FALSE)</f>
        <v/>
      </c>
      <c r="C536">
        <f>INDEX(Products!C:C, MATCH(Sales!C536, Products!A:A, 0))</f>
        <v/>
      </c>
      <c r="D536">
        <f>XLOOKUP(Sales!C536, Products!A:A, Products!D:D)</f>
        <v/>
      </c>
      <c r="E536">
        <f>Sales!D536*Sales!E536</f>
        <v/>
      </c>
      <c r="F536">
        <f>MATCH(Sales!C536, Products!A:A, 0)</f>
        <v/>
      </c>
      <c r="G536">
        <f>OFFSET(Sales!E536,1,0)</f>
        <v/>
      </c>
      <c r="H536">
        <f>IF(AND(Sales!D536*Sales!E536&gt;5000, INDEX(Products!C:C, MATCH(Sales!C536, Products!A:A, 0))="Electronics"),"High Value","Normal")</f>
        <v/>
      </c>
    </row>
    <row r="537">
      <c r="A537">
        <f>Sales!A537</f>
        <v/>
      </c>
      <c r="B537">
        <f>VLOOKUP(Sales!C537,Products!A:E,2,FALSE)</f>
        <v/>
      </c>
      <c r="C537">
        <f>INDEX(Products!C:C, MATCH(Sales!C537, Products!A:A, 0))</f>
        <v/>
      </c>
      <c r="D537">
        <f>XLOOKUP(Sales!C537, Products!A:A, Products!D:D)</f>
        <v/>
      </c>
      <c r="E537">
        <f>Sales!D537*Sales!E537</f>
        <v/>
      </c>
      <c r="F537">
        <f>MATCH(Sales!C537, Products!A:A, 0)</f>
        <v/>
      </c>
      <c r="G537">
        <f>OFFSET(Sales!E537,1,0)</f>
        <v/>
      </c>
      <c r="H537">
        <f>IF(AND(Sales!D537*Sales!E537&gt;5000, INDEX(Products!C:C, MATCH(Sales!C537, Products!A:A, 0))="Electronics"),"High Value","Normal")</f>
        <v/>
      </c>
    </row>
    <row r="538">
      <c r="A538">
        <f>Sales!A538</f>
        <v/>
      </c>
      <c r="B538">
        <f>VLOOKUP(Sales!C538,Products!A:E,2,FALSE)</f>
        <v/>
      </c>
      <c r="C538">
        <f>INDEX(Products!C:C, MATCH(Sales!C538, Products!A:A, 0))</f>
        <v/>
      </c>
      <c r="D538">
        <f>XLOOKUP(Sales!C538, Products!A:A, Products!D:D)</f>
        <v/>
      </c>
      <c r="E538">
        <f>Sales!D538*Sales!E538</f>
        <v/>
      </c>
      <c r="F538">
        <f>MATCH(Sales!C538, Products!A:A, 0)</f>
        <v/>
      </c>
      <c r="G538">
        <f>OFFSET(Sales!E538,1,0)</f>
        <v/>
      </c>
      <c r="H538">
        <f>IF(AND(Sales!D538*Sales!E538&gt;5000, INDEX(Products!C:C, MATCH(Sales!C538, Products!A:A, 0))="Electronics"),"High Value","Normal")</f>
        <v/>
      </c>
    </row>
    <row r="539">
      <c r="A539">
        <f>Sales!A539</f>
        <v/>
      </c>
      <c r="B539">
        <f>VLOOKUP(Sales!C539,Products!A:E,2,FALSE)</f>
        <v/>
      </c>
      <c r="C539">
        <f>INDEX(Products!C:C, MATCH(Sales!C539, Products!A:A, 0))</f>
        <v/>
      </c>
      <c r="D539">
        <f>XLOOKUP(Sales!C539, Products!A:A, Products!D:D)</f>
        <v/>
      </c>
      <c r="E539">
        <f>Sales!D539*Sales!E539</f>
        <v/>
      </c>
      <c r="F539">
        <f>MATCH(Sales!C539, Products!A:A, 0)</f>
        <v/>
      </c>
      <c r="G539">
        <f>OFFSET(Sales!E539,1,0)</f>
        <v/>
      </c>
      <c r="H539">
        <f>IF(AND(Sales!D539*Sales!E539&gt;5000, INDEX(Products!C:C, MATCH(Sales!C539, Products!A:A, 0))="Electronics"),"High Value","Normal")</f>
        <v/>
      </c>
    </row>
    <row r="540">
      <c r="A540">
        <f>Sales!A540</f>
        <v/>
      </c>
      <c r="B540">
        <f>VLOOKUP(Sales!C540,Products!A:E,2,FALSE)</f>
        <v/>
      </c>
      <c r="C540">
        <f>INDEX(Products!C:C, MATCH(Sales!C540, Products!A:A, 0))</f>
        <v/>
      </c>
      <c r="D540">
        <f>XLOOKUP(Sales!C540, Products!A:A, Products!D:D)</f>
        <v/>
      </c>
      <c r="E540">
        <f>Sales!D540*Sales!E540</f>
        <v/>
      </c>
      <c r="F540">
        <f>MATCH(Sales!C540, Products!A:A, 0)</f>
        <v/>
      </c>
      <c r="G540">
        <f>OFFSET(Sales!E540,1,0)</f>
        <v/>
      </c>
      <c r="H540">
        <f>IF(AND(Sales!D540*Sales!E540&gt;5000, INDEX(Products!C:C, MATCH(Sales!C540, Products!A:A, 0))="Electronics"),"High Value","Normal")</f>
        <v/>
      </c>
    </row>
    <row r="541">
      <c r="A541">
        <f>Sales!A541</f>
        <v/>
      </c>
      <c r="B541">
        <f>VLOOKUP(Sales!C541,Products!A:E,2,FALSE)</f>
        <v/>
      </c>
      <c r="C541">
        <f>INDEX(Products!C:C, MATCH(Sales!C541, Products!A:A, 0))</f>
        <v/>
      </c>
      <c r="D541">
        <f>XLOOKUP(Sales!C541, Products!A:A, Products!D:D)</f>
        <v/>
      </c>
      <c r="E541">
        <f>Sales!D541*Sales!E541</f>
        <v/>
      </c>
      <c r="F541">
        <f>MATCH(Sales!C541, Products!A:A, 0)</f>
        <v/>
      </c>
      <c r="G541">
        <f>OFFSET(Sales!E541,1,0)</f>
        <v/>
      </c>
      <c r="H541">
        <f>IF(AND(Sales!D541*Sales!E541&gt;5000, INDEX(Products!C:C, MATCH(Sales!C541, Products!A:A, 0))="Electronics"),"High Value","Normal")</f>
        <v/>
      </c>
    </row>
    <row r="542">
      <c r="A542">
        <f>Sales!A542</f>
        <v/>
      </c>
      <c r="B542">
        <f>VLOOKUP(Sales!C542,Products!A:E,2,FALSE)</f>
        <v/>
      </c>
      <c r="C542">
        <f>INDEX(Products!C:C, MATCH(Sales!C542, Products!A:A, 0))</f>
        <v/>
      </c>
      <c r="D542">
        <f>XLOOKUP(Sales!C542, Products!A:A, Products!D:D)</f>
        <v/>
      </c>
      <c r="E542">
        <f>Sales!D542*Sales!E542</f>
        <v/>
      </c>
      <c r="F542">
        <f>MATCH(Sales!C542, Products!A:A, 0)</f>
        <v/>
      </c>
      <c r="G542">
        <f>OFFSET(Sales!E542,1,0)</f>
        <v/>
      </c>
      <c r="H542">
        <f>IF(AND(Sales!D542*Sales!E542&gt;5000, INDEX(Products!C:C, MATCH(Sales!C542, Products!A:A, 0))="Electronics"),"High Value","Normal")</f>
        <v/>
      </c>
    </row>
    <row r="543">
      <c r="A543">
        <f>Sales!A543</f>
        <v/>
      </c>
      <c r="B543">
        <f>VLOOKUP(Sales!C543,Products!A:E,2,FALSE)</f>
        <v/>
      </c>
      <c r="C543">
        <f>INDEX(Products!C:C, MATCH(Sales!C543, Products!A:A, 0))</f>
        <v/>
      </c>
      <c r="D543">
        <f>XLOOKUP(Sales!C543, Products!A:A, Products!D:D)</f>
        <v/>
      </c>
      <c r="E543">
        <f>Sales!D543*Sales!E543</f>
        <v/>
      </c>
      <c r="F543">
        <f>MATCH(Sales!C543, Products!A:A, 0)</f>
        <v/>
      </c>
      <c r="G543">
        <f>OFFSET(Sales!E543,1,0)</f>
        <v/>
      </c>
      <c r="H543">
        <f>IF(AND(Sales!D543*Sales!E543&gt;5000, INDEX(Products!C:C, MATCH(Sales!C543, Products!A:A, 0))="Electronics"),"High Value","Normal")</f>
        <v/>
      </c>
    </row>
    <row r="544">
      <c r="A544">
        <f>Sales!A544</f>
        <v/>
      </c>
      <c r="B544">
        <f>VLOOKUP(Sales!C544,Products!A:E,2,FALSE)</f>
        <v/>
      </c>
      <c r="C544">
        <f>INDEX(Products!C:C, MATCH(Sales!C544, Products!A:A, 0))</f>
        <v/>
      </c>
      <c r="D544">
        <f>XLOOKUP(Sales!C544, Products!A:A, Products!D:D)</f>
        <v/>
      </c>
      <c r="E544">
        <f>Sales!D544*Sales!E544</f>
        <v/>
      </c>
      <c r="F544">
        <f>MATCH(Sales!C544, Products!A:A, 0)</f>
        <v/>
      </c>
      <c r="G544">
        <f>OFFSET(Sales!E544,1,0)</f>
        <v/>
      </c>
      <c r="H544">
        <f>IF(AND(Sales!D544*Sales!E544&gt;5000, INDEX(Products!C:C, MATCH(Sales!C544, Products!A:A, 0))="Electronics"),"High Value","Normal")</f>
        <v/>
      </c>
    </row>
    <row r="545">
      <c r="A545">
        <f>Sales!A545</f>
        <v/>
      </c>
      <c r="B545">
        <f>VLOOKUP(Sales!C545,Products!A:E,2,FALSE)</f>
        <v/>
      </c>
      <c r="C545">
        <f>INDEX(Products!C:C, MATCH(Sales!C545, Products!A:A, 0))</f>
        <v/>
      </c>
      <c r="D545">
        <f>XLOOKUP(Sales!C545, Products!A:A, Products!D:D)</f>
        <v/>
      </c>
      <c r="E545">
        <f>Sales!D545*Sales!E545</f>
        <v/>
      </c>
      <c r="F545">
        <f>MATCH(Sales!C545, Products!A:A, 0)</f>
        <v/>
      </c>
      <c r="G545">
        <f>OFFSET(Sales!E545,1,0)</f>
        <v/>
      </c>
      <c r="H545">
        <f>IF(AND(Sales!D545*Sales!E545&gt;5000, INDEX(Products!C:C, MATCH(Sales!C545, Products!A:A, 0))="Electronics"),"High Value","Normal")</f>
        <v/>
      </c>
    </row>
    <row r="546">
      <c r="A546">
        <f>Sales!A546</f>
        <v/>
      </c>
      <c r="B546">
        <f>VLOOKUP(Sales!C546,Products!A:E,2,FALSE)</f>
        <v/>
      </c>
      <c r="C546">
        <f>INDEX(Products!C:C, MATCH(Sales!C546, Products!A:A, 0))</f>
        <v/>
      </c>
      <c r="D546">
        <f>XLOOKUP(Sales!C546, Products!A:A, Products!D:D)</f>
        <v/>
      </c>
      <c r="E546">
        <f>Sales!D546*Sales!E546</f>
        <v/>
      </c>
      <c r="F546">
        <f>MATCH(Sales!C546, Products!A:A, 0)</f>
        <v/>
      </c>
      <c r="G546">
        <f>OFFSET(Sales!E546,1,0)</f>
        <v/>
      </c>
      <c r="H546">
        <f>IF(AND(Sales!D546*Sales!E546&gt;5000, INDEX(Products!C:C, MATCH(Sales!C546, Products!A:A, 0))="Electronics"),"High Value","Normal")</f>
        <v/>
      </c>
    </row>
    <row r="547">
      <c r="A547">
        <f>Sales!A547</f>
        <v/>
      </c>
      <c r="B547">
        <f>VLOOKUP(Sales!C547,Products!A:E,2,FALSE)</f>
        <v/>
      </c>
      <c r="C547">
        <f>INDEX(Products!C:C, MATCH(Sales!C547, Products!A:A, 0))</f>
        <v/>
      </c>
      <c r="D547">
        <f>XLOOKUP(Sales!C547, Products!A:A, Products!D:D)</f>
        <v/>
      </c>
      <c r="E547">
        <f>Sales!D547*Sales!E547</f>
        <v/>
      </c>
      <c r="F547">
        <f>MATCH(Sales!C547, Products!A:A, 0)</f>
        <v/>
      </c>
      <c r="G547">
        <f>OFFSET(Sales!E547,1,0)</f>
        <v/>
      </c>
      <c r="H547">
        <f>IF(AND(Sales!D547*Sales!E547&gt;5000, INDEX(Products!C:C, MATCH(Sales!C547, Products!A:A, 0))="Electronics"),"High Value","Normal")</f>
        <v/>
      </c>
    </row>
    <row r="548">
      <c r="A548">
        <f>Sales!A548</f>
        <v/>
      </c>
      <c r="B548">
        <f>VLOOKUP(Sales!C548,Products!A:E,2,FALSE)</f>
        <v/>
      </c>
      <c r="C548">
        <f>INDEX(Products!C:C, MATCH(Sales!C548, Products!A:A, 0))</f>
        <v/>
      </c>
      <c r="D548">
        <f>XLOOKUP(Sales!C548, Products!A:A, Products!D:D)</f>
        <v/>
      </c>
      <c r="E548">
        <f>Sales!D548*Sales!E548</f>
        <v/>
      </c>
      <c r="F548">
        <f>MATCH(Sales!C548, Products!A:A, 0)</f>
        <v/>
      </c>
      <c r="G548">
        <f>OFFSET(Sales!E548,1,0)</f>
        <v/>
      </c>
      <c r="H548">
        <f>IF(AND(Sales!D548*Sales!E548&gt;5000, INDEX(Products!C:C, MATCH(Sales!C548, Products!A:A, 0))="Electronics"),"High Value","Normal")</f>
        <v/>
      </c>
    </row>
    <row r="549">
      <c r="A549">
        <f>Sales!A549</f>
        <v/>
      </c>
      <c r="B549">
        <f>VLOOKUP(Sales!C549,Products!A:E,2,FALSE)</f>
        <v/>
      </c>
      <c r="C549">
        <f>INDEX(Products!C:C, MATCH(Sales!C549, Products!A:A, 0))</f>
        <v/>
      </c>
      <c r="D549">
        <f>XLOOKUP(Sales!C549, Products!A:A, Products!D:D)</f>
        <v/>
      </c>
      <c r="E549">
        <f>Sales!D549*Sales!E549</f>
        <v/>
      </c>
      <c r="F549">
        <f>MATCH(Sales!C549, Products!A:A, 0)</f>
        <v/>
      </c>
      <c r="G549">
        <f>OFFSET(Sales!E549,1,0)</f>
        <v/>
      </c>
      <c r="H549">
        <f>IF(AND(Sales!D549*Sales!E549&gt;5000, INDEX(Products!C:C, MATCH(Sales!C549, Products!A:A, 0))="Electronics"),"High Value","Normal")</f>
        <v/>
      </c>
    </row>
    <row r="550">
      <c r="A550">
        <f>Sales!A550</f>
        <v/>
      </c>
      <c r="B550">
        <f>VLOOKUP(Sales!C550,Products!A:E,2,FALSE)</f>
        <v/>
      </c>
      <c r="C550">
        <f>INDEX(Products!C:C, MATCH(Sales!C550, Products!A:A, 0))</f>
        <v/>
      </c>
      <c r="D550">
        <f>XLOOKUP(Sales!C550, Products!A:A, Products!D:D)</f>
        <v/>
      </c>
      <c r="E550">
        <f>Sales!D550*Sales!E550</f>
        <v/>
      </c>
      <c r="F550">
        <f>MATCH(Sales!C550, Products!A:A, 0)</f>
        <v/>
      </c>
      <c r="G550">
        <f>OFFSET(Sales!E550,1,0)</f>
        <v/>
      </c>
      <c r="H550">
        <f>IF(AND(Sales!D550*Sales!E550&gt;5000, INDEX(Products!C:C, MATCH(Sales!C550, Products!A:A, 0))="Electronics"),"High Value","Normal")</f>
        <v/>
      </c>
    </row>
    <row r="551">
      <c r="A551">
        <f>Sales!A551</f>
        <v/>
      </c>
      <c r="B551">
        <f>VLOOKUP(Sales!C551,Products!A:E,2,FALSE)</f>
        <v/>
      </c>
      <c r="C551">
        <f>INDEX(Products!C:C, MATCH(Sales!C551, Products!A:A, 0))</f>
        <v/>
      </c>
      <c r="D551">
        <f>XLOOKUP(Sales!C551, Products!A:A, Products!D:D)</f>
        <v/>
      </c>
      <c r="E551">
        <f>Sales!D551*Sales!E551</f>
        <v/>
      </c>
      <c r="F551">
        <f>MATCH(Sales!C551, Products!A:A, 0)</f>
        <v/>
      </c>
      <c r="G551">
        <f>OFFSET(Sales!E551,1,0)</f>
        <v/>
      </c>
      <c r="H551">
        <f>IF(AND(Sales!D551*Sales!E551&gt;5000, INDEX(Products!C:C, MATCH(Sales!C551, Products!A:A, 0))="Electronics"),"High Value","Normal")</f>
        <v/>
      </c>
    </row>
    <row r="552">
      <c r="A552">
        <f>Sales!A552</f>
        <v/>
      </c>
      <c r="B552">
        <f>VLOOKUP(Sales!C552,Products!A:E,2,FALSE)</f>
        <v/>
      </c>
      <c r="C552">
        <f>INDEX(Products!C:C, MATCH(Sales!C552, Products!A:A, 0))</f>
        <v/>
      </c>
      <c r="D552">
        <f>XLOOKUP(Sales!C552, Products!A:A, Products!D:D)</f>
        <v/>
      </c>
      <c r="E552">
        <f>Sales!D552*Sales!E552</f>
        <v/>
      </c>
      <c r="F552">
        <f>MATCH(Sales!C552, Products!A:A, 0)</f>
        <v/>
      </c>
      <c r="G552">
        <f>OFFSET(Sales!E552,1,0)</f>
        <v/>
      </c>
      <c r="H552">
        <f>IF(AND(Sales!D552*Sales!E552&gt;5000, INDEX(Products!C:C, MATCH(Sales!C552, Products!A:A, 0))="Electronics"),"High Value","Normal")</f>
        <v/>
      </c>
    </row>
    <row r="553">
      <c r="A553">
        <f>Sales!A553</f>
        <v/>
      </c>
      <c r="B553">
        <f>VLOOKUP(Sales!C553,Products!A:E,2,FALSE)</f>
        <v/>
      </c>
      <c r="C553">
        <f>INDEX(Products!C:C, MATCH(Sales!C553, Products!A:A, 0))</f>
        <v/>
      </c>
      <c r="D553">
        <f>XLOOKUP(Sales!C553, Products!A:A, Products!D:D)</f>
        <v/>
      </c>
      <c r="E553">
        <f>Sales!D553*Sales!E553</f>
        <v/>
      </c>
      <c r="F553">
        <f>MATCH(Sales!C553, Products!A:A, 0)</f>
        <v/>
      </c>
      <c r="G553">
        <f>OFFSET(Sales!E553,1,0)</f>
        <v/>
      </c>
      <c r="H553">
        <f>IF(AND(Sales!D553*Sales!E553&gt;5000, INDEX(Products!C:C, MATCH(Sales!C553, Products!A:A, 0))="Electronics"),"High Value","Normal")</f>
        <v/>
      </c>
    </row>
    <row r="554">
      <c r="A554">
        <f>Sales!A554</f>
        <v/>
      </c>
      <c r="B554">
        <f>VLOOKUP(Sales!C554,Products!A:E,2,FALSE)</f>
        <v/>
      </c>
      <c r="C554">
        <f>INDEX(Products!C:C, MATCH(Sales!C554, Products!A:A, 0))</f>
        <v/>
      </c>
      <c r="D554">
        <f>XLOOKUP(Sales!C554, Products!A:A, Products!D:D)</f>
        <v/>
      </c>
      <c r="E554">
        <f>Sales!D554*Sales!E554</f>
        <v/>
      </c>
      <c r="F554">
        <f>MATCH(Sales!C554, Products!A:A, 0)</f>
        <v/>
      </c>
      <c r="G554">
        <f>OFFSET(Sales!E554,1,0)</f>
        <v/>
      </c>
      <c r="H554">
        <f>IF(AND(Sales!D554*Sales!E554&gt;5000, INDEX(Products!C:C, MATCH(Sales!C554, Products!A:A, 0))="Electronics"),"High Value","Normal")</f>
        <v/>
      </c>
    </row>
    <row r="555">
      <c r="A555">
        <f>Sales!A555</f>
        <v/>
      </c>
      <c r="B555">
        <f>VLOOKUP(Sales!C555,Products!A:E,2,FALSE)</f>
        <v/>
      </c>
      <c r="C555">
        <f>INDEX(Products!C:C, MATCH(Sales!C555, Products!A:A, 0))</f>
        <v/>
      </c>
      <c r="D555">
        <f>XLOOKUP(Sales!C555, Products!A:A, Products!D:D)</f>
        <v/>
      </c>
      <c r="E555">
        <f>Sales!D555*Sales!E555</f>
        <v/>
      </c>
      <c r="F555">
        <f>MATCH(Sales!C555, Products!A:A, 0)</f>
        <v/>
      </c>
      <c r="G555">
        <f>OFFSET(Sales!E555,1,0)</f>
        <v/>
      </c>
      <c r="H555">
        <f>IF(AND(Sales!D555*Sales!E555&gt;5000, INDEX(Products!C:C, MATCH(Sales!C555, Products!A:A, 0))="Electronics"),"High Value","Normal")</f>
        <v/>
      </c>
    </row>
    <row r="556">
      <c r="A556">
        <f>Sales!A556</f>
        <v/>
      </c>
      <c r="B556">
        <f>VLOOKUP(Sales!C556,Products!A:E,2,FALSE)</f>
        <v/>
      </c>
      <c r="C556">
        <f>INDEX(Products!C:C, MATCH(Sales!C556, Products!A:A, 0))</f>
        <v/>
      </c>
      <c r="D556">
        <f>XLOOKUP(Sales!C556, Products!A:A, Products!D:D)</f>
        <v/>
      </c>
      <c r="E556">
        <f>Sales!D556*Sales!E556</f>
        <v/>
      </c>
      <c r="F556">
        <f>MATCH(Sales!C556, Products!A:A, 0)</f>
        <v/>
      </c>
      <c r="G556">
        <f>OFFSET(Sales!E556,1,0)</f>
        <v/>
      </c>
      <c r="H556">
        <f>IF(AND(Sales!D556*Sales!E556&gt;5000, INDEX(Products!C:C, MATCH(Sales!C556, Products!A:A, 0))="Electronics"),"High Value","Normal")</f>
        <v/>
      </c>
    </row>
    <row r="557">
      <c r="A557">
        <f>Sales!A557</f>
        <v/>
      </c>
      <c r="B557">
        <f>VLOOKUP(Sales!C557,Products!A:E,2,FALSE)</f>
        <v/>
      </c>
      <c r="C557">
        <f>INDEX(Products!C:C, MATCH(Sales!C557, Products!A:A, 0))</f>
        <v/>
      </c>
      <c r="D557">
        <f>XLOOKUP(Sales!C557, Products!A:A, Products!D:D)</f>
        <v/>
      </c>
      <c r="E557">
        <f>Sales!D557*Sales!E557</f>
        <v/>
      </c>
      <c r="F557">
        <f>MATCH(Sales!C557, Products!A:A, 0)</f>
        <v/>
      </c>
      <c r="G557">
        <f>OFFSET(Sales!E557,1,0)</f>
        <v/>
      </c>
      <c r="H557">
        <f>IF(AND(Sales!D557*Sales!E557&gt;5000, INDEX(Products!C:C, MATCH(Sales!C557, Products!A:A, 0))="Electronics"),"High Value","Normal")</f>
        <v/>
      </c>
    </row>
    <row r="558">
      <c r="A558">
        <f>Sales!A558</f>
        <v/>
      </c>
      <c r="B558">
        <f>VLOOKUP(Sales!C558,Products!A:E,2,FALSE)</f>
        <v/>
      </c>
      <c r="C558">
        <f>INDEX(Products!C:C, MATCH(Sales!C558, Products!A:A, 0))</f>
        <v/>
      </c>
      <c r="D558">
        <f>XLOOKUP(Sales!C558, Products!A:A, Products!D:D)</f>
        <v/>
      </c>
      <c r="E558">
        <f>Sales!D558*Sales!E558</f>
        <v/>
      </c>
      <c r="F558">
        <f>MATCH(Sales!C558, Products!A:A, 0)</f>
        <v/>
      </c>
      <c r="G558">
        <f>OFFSET(Sales!E558,1,0)</f>
        <v/>
      </c>
      <c r="H558">
        <f>IF(AND(Sales!D558*Sales!E558&gt;5000, INDEX(Products!C:C, MATCH(Sales!C558, Products!A:A, 0))="Electronics"),"High Value","Normal")</f>
        <v/>
      </c>
    </row>
    <row r="559">
      <c r="A559">
        <f>Sales!A559</f>
        <v/>
      </c>
      <c r="B559">
        <f>VLOOKUP(Sales!C559,Products!A:E,2,FALSE)</f>
        <v/>
      </c>
      <c r="C559">
        <f>INDEX(Products!C:C, MATCH(Sales!C559, Products!A:A, 0))</f>
        <v/>
      </c>
      <c r="D559">
        <f>XLOOKUP(Sales!C559, Products!A:A, Products!D:D)</f>
        <v/>
      </c>
      <c r="E559">
        <f>Sales!D559*Sales!E559</f>
        <v/>
      </c>
      <c r="F559">
        <f>MATCH(Sales!C559, Products!A:A, 0)</f>
        <v/>
      </c>
      <c r="G559">
        <f>OFFSET(Sales!E559,1,0)</f>
        <v/>
      </c>
      <c r="H559">
        <f>IF(AND(Sales!D559*Sales!E559&gt;5000, INDEX(Products!C:C, MATCH(Sales!C559, Products!A:A, 0))="Electronics"),"High Value","Normal")</f>
        <v/>
      </c>
    </row>
    <row r="560">
      <c r="A560">
        <f>Sales!A560</f>
        <v/>
      </c>
      <c r="B560">
        <f>VLOOKUP(Sales!C560,Products!A:E,2,FALSE)</f>
        <v/>
      </c>
      <c r="C560">
        <f>INDEX(Products!C:C, MATCH(Sales!C560, Products!A:A, 0))</f>
        <v/>
      </c>
      <c r="D560">
        <f>XLOOKUP(Sales!C560, Products!A:A, Products!D:D)</f>
        <v/>
      </c>
      <c r="E560">
        <f>Sales!D560*Sales!E560</f>
        <v/>
      </c>
      <c r="F560">
        <f>MATCH(Sales!C560, Products!A:A, 0)</f>
        <v/>
      </c>
      <c r="G560">
        <f>OFFSET(Sales!E560,1,0)</f>
        <v/>
      </c>
      <c r="H560">
        <f>IF(AND(Sales!D560*Sales!E560&gt;5000, INDEX(Products!C:C, MATCH(Sales!C560, Products!A:A, 0))="Electronics"),"High Value","Normal")</f>
        <v/>
      </c>
    </row>
    <row r="561">
      <c r="A561">
        <f>Sales!A561</f>
        <v/>
      </c>
      <c r="B561">
        <f>VLOOKUP(Sales!C561,Products!A:E,2,FALSE)</f>
        <v/>
      </c>
      <c r="C561">
        <f>INDEX(Products!C:C, MATCH(Sales!C561, Products!A:A, 0))</f>
        <v/>
      </c>
      <c r="D561">
        <f>XLOOKUP(Sales!C561, Products!A:A, Products!D:D)</f>
        <v/>
      </c>
      <c r="E561">
        <f>Sales!D561*Sales!E561</f>
        <v/>
      </c>
      <c r="F561">
        <f>MATCH(Sales!C561, Products!A:A, 0)</f>
        <v/>
      </c>
      <c r="G561">
        <f>OFFSET(Sales!E561,1,0)</f>
        <v/>
      </c>
      <c r="H561">
        <f>IF(AND(Sales!D561*Sales!E561&gt;5000, INDEX(Products!C:C, MATCH(Sales!C561, Products!A:A, 0))="Electronics"),"High Value","Normal")</f>
        <v/>
      </c>
    </row>
    <row r="562">
      <c r="A562">
        <f>Sales!A562</f>
        <v/>
      </c>
      <c r="B562">
        <f>VLOOKUP(Sales!C562,Products!A:E,2,FALSE)</f>
        <v/>
      </c>
      <c r="C562">
        <f>INDEX(Products!C:C, MATCH(Sales!C562, Products!A:A, 0))</f>
        <v/>
      </c>
      <c r="D562">
        <f>XLOOKUP(Sales!C562, Products!A:A, Products!D:D)</f>
        <v/>
      </c>
      <c r="E562">
        <f>Sales!D562*Sales!E562</f>
        <v/>
      </c>
      <c r="F562">
        <f>MATCH(Sales!C562, Products!A:A, 0)</f>
        <v/>
      </c>
      <c r="G562">
        <f>OFFSET(Sales!E562,1,0)</f>
        <v/>
      </c>
      <c r="H562">
        <f>IF(AND(Sales!D562*Sales!E562&gt;5000, INDEX(Products!C:C, MATCH(Sales!C562, Products!A:A, 0))="Electronics"),"High Value","Normal")</f>
        <v/>
      </c>
    </row>
    <row r="563">
      <c r="A563">
        <f>Sales!A563</f>
        <v/>
      </c>
      <c r="B563">
        <f>VLOOKUP(Sales!C563,Products!A:E,2,FALSE)</f>
        <v/>
      </c>
      <c r="C563">
        <f>INDEX(Products!C:C, MATCH(Sales!C563, Products!A:A, 0))</f>
        <v/>
      </c>
      <c r="D563">
        <f>XLOOKUP(Sales!C563, Products!A:A, Products!D:D)</f>
        <v/>
      </c>
      <c r="E563">
        <f>Sales!D563*Sales!E563</f>
        <v/>
      </c>
      <c r="F563">
        <f>MATCH(Sales!C563, Products!A:A, 0)</f>
        <v/>
      </c>
      <c r="G563">
        <f>OFFSET(Sales!E563,1,0)</f>
        <v/>
      </c>
      <c r="H563">
        <f>IF(AND(Sales!D563*Sales!E563&gt;5000, INDEX(Products!C:C, MATCH(Sales!C563, Products!A:A, 0))="Electronics"),"High Value","Normal")</f>
        <v/>
      </c>
    </row>
    <row r="564">
      <c r="A564">
        <f>Sales!A564</f>
        <v/>
      </c>
      <c r="B564">
        <f>VLOOKUP(Sales!C564,Products!A:E,2,FALSE)</f>
        <v/>
      </c>
      <c r="C564">
        <f>INDEX(Products!C:C, MATCH(Sales!C564, Products!A:A, 0))</f>
        <v/>
      </c>
      <c r="D564">
        <f>XLOOKUP(Sales!C564, Products!A:A, Products!D:D)</f>
        <v/>
      </c>
      <c r="E564">
        <f>Sales!D564*Sales!E564</f>
        <v/>
      </c>
      <c r="F564">
        <f>MATCH(Sales!C564, Products!A:A, 0)</f>
        <v/>
      </c>
      <c r="G564">
        <f>OFFSET(Sales!E564,1,0)</f>
        <v/>
      </c>
      <c r="H564">
        <f>IF(AND(Sales!D564*Sales!E564&gt;5000, INDEX(Products!C:C, MATCH(Sales!C564, Products!A:A, 0))="Electronics"),"High Value","Normal")</f>
        <v/>
      </c>
    </row>
    <row r="565">
      <c r="A565">
        <f>Sales!A565</f>
        <v/>
      </c>
      <c r="B565">
        <f>VLOOKUP(Sales!C565,Products!A:E,2,FALSE)</f>
        <v/>
      </c>
      <c r="C565">
        <f>INDEX(Products!C:C, MATCH(Sales!C565, Products!A:A, 0))</f>
        <v/>
      </c>
      <c r="D565">
        <f>XLOOKUP(Sales!C565, Products!A:A, Products!D:D)</f>
        <v/>
      </c>
      <c r="E565">
        <f>Sales!D565*Sales!E565</f>
        <v/>
      </c>
      <c r="F565">
        <f>MATCH(Sales!C565, Products!A:A, 0)</f>
        <v/>
      </c>
      <c r="G565">
        <f>OFFSET(Sales!E565,1,0)</f>
        <v/>
      </c>
      <c r="H565">
        <f>IF(AND(Sales!D565*Sales!E565&gt;5000, INDEX(Products!C:C, MATCH(Sales!C565, Products!A:A, 0))="Electronics"),"High Value","Normal")</f>
        <v/>
      </c>
    </row>
    <row r="566">
      <c r="A566">
        <f>Sales!A566</f>
        <v/>
      </c>
      <c r="B566">
        <f>VLOOKUP(Sales!C566,Products!A:E,2,FALSE)</f>
        <v/>
      </c>
      <c r="C566">
        <f>INDEX(Products!C:C, MATCH(Sales!C566, Products!A:A, 0))</f>
        <v/>
      </c>
      <c r="D566">
        <f>XLOOKUP(Sales!C566, Products!A:A, Products!D:D)</f>
        <v/>
      </c>
      <c r="E566">
        <f>Sales!D566*Sales!E566</f>
        <v/>
      </c>
      <c r="F566">
        <f>MATCH(Sales!C566, Products!A:A, 0)</f>
        <v/>
      </c>
      <c r="G566">
        <f>OFFSET(Sales!E566,1,0)</f>
        <v/>
      </c>
      <c r="H566">
        <f>IF(AND(Sales!D566*Sales!E566&gt;5000, INDEX(Products!C:C, MATCH(Sales!C566, Products!A:A, 0))="Electronics"),"High Value","Normal")</f>
        <v/>
      </c>
    </row>
    <row r="567">
      <c r="A567">
        <f>Sales!A567</f>
        <v/>
      </c>
      <c r="B567">
        <f>VLOOKUP(Sales!C567,Products!A:E,2,FALSE)</f>
        <v/>
      </c>
      <c r="C567">
        <f>INDEX(Products!C:C, MATCH(Sales!C567, Products!A:A, 0))</f>
        <v/>
      </c>
      <c r="D567">
        <f>XLOOKUP(Sales!C567, Products!A:A, Products!D:D)</f>
        <v/>
      </c>
      <c r="E567">
        <f>Sales!D567*Sales!E567</f>
        <v/>
      </c>
      <c r="F567">
        <f>MATCH(Sales!C567, Products!A:A, 0)</f>
        <v/>
      </c>
      <c r="G567">
        <f>OFFSET(Sales!E567,1,0)</f>
        <v/>
      </c>
      <c r="H567">
        <f>IF(AND(Sales!D567*Sales!E567&gt;5000, INDEX(Products!C:C, MATCH(Sales!C567, Products!A:A, 0))="Electronics"),"High Value","Normal")</f>
        <v/>
      </c>
    </row>
    <row r="568">
      <c r="A568">
        <f>Sales!A568</f>
        <v/>
      </c>
      <c r="B568">
        <f>VLOOKUP(Sales!C568,Products!A:E,2,FALSE)</f>
        <v/>
      </c>
      <c r="C568">
        <f>INDEX(Products!C:C, MATCH(Sales!C568, Products!A:A, 0))</f>
        <v/>
      </c>
      <c r="D568">
        <f>XLOOKUP(Sales!C568, Products!A:A, Products!D:D)</f>
        <v/>
      </c>
      <c r="E568">
        <f>Sales!D568*Sales!E568</f>
        <v/>
      </c>
      <c r="F568">
        <f>MATCH(Sales!C568, Products!A:A, 0)</f>
        <v/>
      </c>
      <c r="G568">
        <f>OFFSET(Sales!E568,1,0)</f>
        <v/>
      </c>
      <c r="H568">
        <f>IF(AND(Sales!D568*Sales!E568&gt;5000, INDEX(Products!C:C, MATCH(Sales!C568, Products!A:A, 0))="Electronics"),"High Value","Normal")</f>
        <v/>
      </c>
    </row>
    <row r="569">
      <c r="A569">
        <f>Sales!A569</f>
        <v/>
      </c>
      <c r="B569">
        <f>VLOOKUP(Sales!C569,Products!A:E,2,FALSE)</f>
        <v/>
      </c>
      <c r="C569">
        <f>INDEX(Products!C:C, MATCH(Sales!C569, Products!A:A, 0))</f>
        <v/>
      </c>
      <c r="D569">
        <f>XLOOKUP(Sales!C569, Products!A:A, Products!D:D)</f>
        <v/>
      </c>
      <c r="E569">
        <f>Sales!D569*Sales!E569</f>
        <v/>
      </c>
      <c r="F569">
        <f>MATCH(Sales!C569, Products!A:A, 0)</f>
        <v/>
      </c>
      <c r="G569">
        <f>OFFSET(Sales!E569,1,0)</f>
        <v/>
      </c>
      <c r="H569">
        <f>IF(AND(Sales!D569*Sales!E569&gt;5000, INDEX(Products!C:C, MATCH(Sales!C569, Products!A:A, 0))="Electronics"),"High Value","Normal")</f>
        <v/>
      </c>
    </row>
    <row r="570">
      <c r="A570">
        <f>Sales!A570</f>
        <v/>
      </c>
      <c r="B570">
        <f>VLOOKUP(Sales!C570,Products!A:E,2,FALSE)</f>
        <v/>
      </c>
      <c r="C570">
        <f>INDEX(Products!C:C, MATCH(Sales!C570, Products!A:A, 0))</f>
        <v/>
      </c>
      <c r="D570">
        <f>XLOOKUP(Sales!C570, Products!A:A, Products!D:D)</f>
        <v/>
      </c>
      <c r="E570">
        <f>Sales!D570*Sales!E570</f>
        <v/>
      </c>
      <c r="F570">
        <f>MATCH(Sales!C570, Products!A:A, 0)</f>
        <v/>
      </c>
      <c r="G570">
        <f>OFFSET(Sales!E570,1,0)</f>
        <v/>
      </c>
      <c r="H570">
        <f>IF(AND(Sales!D570*Sales!E570&gt;5000, INDEX(Products!C:C, MATCH(Sales!C570, Products!A:A, 0))="Electronics"),"High Value","Normal")</f>
        <v/>
      </c>
    </row>
    <row r="571">
      <c r="A571">
        <f>Sales!A571</f>
        <v/>
      </c>
      <c r="B571">
        <f>VLOOKUP(Sales!C571,Products!A:E,2,FALSE)</f>
        <v/>
      </c>
      <c r="C571">
        <f>INDEX(Products!C:C, MATCH(Sales!C571, Products!A:A, 0))</f>
        <v/>
      </c>
      <c r="D571">
        <f>XLOOKUP(Sales!C571, Products!A:A, Products!D:D)</f>
        <v/>
      </c>
      <c r="E571">
        <f>Sales!D571*Sales!E571</f>
        <v/>
      </c>
      <c r="F571">
        <f>MATCH(Sales!C571, Products!A:A, 0)</f>
        <v/>
      </c>
      <c r="G571">
        <f>OFFSET(Sales!E571,1,0)</f>
        <v/>
      </c>
      <c r="H571">
        <f>IF(AND(Sales!D571*Sales!E571&gt;5000, INDEX(Products!C:C, MATCH(Sales!C571, Products!A:A, 0))="Electronics"),"High Value","Normal")</f>
        <v/>
      </c>
    </row>
    <row r="572">
      <c r="A572">
        <f>Sales!A572</f>
        <v/>
      </c>
      <c r="B572">
        <f>VLOOKUP(Sales!C572,Products!A:E,2,FALSE)</f>
        <v/>
      </c>
      <c r="C572">
        <f>INDEX(Products!C:C, MATCH(Sales!C572, Products!A:A, 0))</f>
        <v/>
      </c>
      <c r="D572">
        <f>XLOOKUP(Sales!C572, Products!A:A, Products!D:D)</f>
        <v/>
      </c>
      <c r="E572">
        <f>Sales!D572*Sales!E572</f>
        <v/>
      </c>
      <c r="F572">
        <f>MATCH(Sales!C572, Products!A:A, 0)</f>
        <v/>
      </c>
      <c r="G572">
        <f>OFFSET(Sales!E572,1,0)</f>
        <v/>
      </c>
      <c r="H572">
        <f>IF(AND(Sales!D572*Sales!E572&gt;5000, INDEX(Products!C:C, MATCH(Sales!C572, Products!A:A, 0))="Electronics"),"High Value","Normal")</f>
        <v/>
      </c>
    </row>
    <row r="573">
      <c r="A573">
        <f>Sales!A573</f>
        <v/>
      </c>
      <c r="B573">
        <f>VLOOKUP(Sales!C573,Products!A:E,2,FALSE)</f>
        <v/>
      </c>
      <c r="C573">
        <f>INDEX(Products!C:C, MATCH(Sales!C573, Products!A:A, 0))</f>
        <v/>
      </c>
      <c r="D573">
        <f>XLOOKUP(Sales!C573, Products!A:A, Products!D:D)</f>
        <v/>
      </c>
      <c r="E573">
        <f>Sales!D573*Sales!E573</f>
        <v/>
      </c>
      <c r="F573">
        <f>MATCH(Sales!C573, Products!A:A, 0)</f>
        <v/>
      </c>
      <c r="G573">
        <f>OFFSET(Sales!E573,1,0)</f>
        <v/>
      </c>
      <c r="H573">
        <f>IF(AND(Sales!D573*Sales!E573&gt;5000, INDEX(Products!C:C, MATCH(Sales!C573, Products!A:A, 0))="Electronics"),"High Value","Normal")</f>
        <v/>
      </c>
    </row>
    <row r="574">
      <c r="A574">
        <f>Sales!A574</f>
        <v/>
      </c>
      <c r="B574">
        <f>VLOOKUP(Sales!C574,Products!A:E,2,FALSE)</f>
        <v/>
      </c>
      <c r="C574">
        <f>INDEX(Products!C:C, MATCH(Sales!C574, Products!A:A, 0))</f>
        <v/>
      </c>
      <c r="D574">
        <f>XLOOKUP(Sales!C574, Products!A:A, Products!D:D)</f>
        <v/>
      </c>
      <c r="E574">
        <f>Sales!D574*Sales!E574</f>
        <v/>
      </c>
      <c r="F574">
        <f>MATCH(Sales!C574, Products!A:A, 0)</f>
        <v/>
      </c>
      <c r="G574">
        <f>OFFSET(Sales!E574,1,0)</f>
        <v/>
      </c>
      <c r="H574">
        <f>IF(AND(Sales!D574*Sales!E574&gt;5000, INDEX(Products!C:C, MATCH(Sales!C574, Products!A:A, 0))="Electronics"),"High Value","Normal")</f>
        <v/>
      </c>
    </row>
    <row r="575">
      <c r="A575">
        <f>Sales!A575</f>
        <v/>
      </c>
      <c r="B575">
        <f>VLOOKUP(Sales!C575,Products!A:E,2,FALSE)</f>
        <v/>
      </c>
      <c r="C575">
        <f>INDEX(Products!C:C, MATCH(Sales!C575, Products!A:A, 0))</f>
        <v/>
      </c>
      <c r="D575">
        <f>XLOOKUP(Sales!C575, Products!A:A, Products!D:D)</f>
        <v/>
      </c>
      <c r="E575">
        <f>Sales!D575*Sales!E575</f>
        <v/>
      </c>
      <c r="F575">
        <f>MATCH(Sales!C575, Products!A:A, 0)</f>
        <v/>
      </c>
      <c r="G575">
        <f>OFFSET(Sales!E575,1,0)</f>
        <v/>
      </c>
      <c r="H575">
        <f>IF(AND(Sales!D575*Sales!E575&gt;5000, INDEX(Products!C:C, MATCH(Sales!C575, Products!A:A, 0))="Electronics"),"High Value","Normal")</f>
        <v/>
      </c>
    </row>
    <row r="576">
      <c r="A576">
        <f>Sales!A576</f>
        <v/>
      </c>
      <c r="B576">
        <f>VLOOKUP(Sales!C576,Products!A:E,2,FALSE)</f>
        <v/>
      </c>
      <c r="C576">
        <f>INDEX(Products!C:C, MATCH(Sales!C576, Products!A:A, 0))</f>
        <v/>
      </c>
      <c r="D576">
        <f>XLOOKUP(Sales!C576, Products!A:A, Products!D:D)</f>
        <v/>
      </c>
      <c r="E576">
        <f>Sales!D576*Sales!E576</f>
        <v/>
      </c>
      <c r="F576">
        <f>MATCH(Sales!C576, Products!A:A, 0)</f>
        <v/>
      </c>
      <c r="G576">
        <f>OFFSET(Sales!E576,1,0)</f>
        <v/>
      </c>
      <c r="H576">
        <f>IF(AND(Sales!D576*Sales!E576&gt;5000, INDEX(Products!C:C, MATCH(Sales!C576, Products!A:A, 0))="Electronics"),"High Value","Normal")</f>
        <v/>
      </c>
    </row>
    <row r="577">
      <c r="A577">
        <f>Sales!A577</f>
        <v/>
      </c>
      <c r="B577">
        <f>VLOOKUP(Sales!C577,Products!A:E,2,FALSE)</f>
        <v/>
      </c>
      <c r="C577">
        <f>INDEX(Products!C:C, MATCH(Sales!C577, Products!A:A, 0))</f>
        <v/>
      </c>
      <c r="D577">
        <f>XLOOKUP(Sales!C577, Products!A:A, Products!D:D)</f>
        <v/>
      </c>
      <c r="E577">
        <f>Sales!D577*Sales!E577</f>
        <v/>
      </c>
      <c r="F577">
        <f>MATCH(Sales!C577, Products!A:A, 0)</f>
        <v/>
      </c>
      <c r="G577">
        <f>OFFSET(Sales!E577,1,0)</f>
        <v/>
      </c>
      <c r="H577">
        <f>IF(AND(Sales!D577*Sales!E577&gt;5000, INDEX(Products!C:C, MATCH(Sales!C577, Products!A:A, 0))="Electronics"),"High Value","Normal")</f>
        <v/>
      </c>
    </row>
    <row r="578">
      <c r="A578">
        <f>Sales!A578</f>
        <v/>
      </c>
      <c r="B578">
        <f>VLOOKUP(Sales!C578,Products!A:E,2,FALSE)</f>
        <v/>
      </c>
      <c r="C578">
        <f>INDEX(Products!C:C, MATCH(Sales!C578, Products!A:A, 0))</f>
        <v/>
      </c>
      <c r="D578">
        <f>XLOOKUP(Sales!C578, Products!A:A, Products!D:D)</f>
        <v/>
      </c>
      <c r="E578">
        <f>Sales!D578*Sales!E578</f>
        <v/>
      </c>
      <c r="F578">
        <f>MATCH(Sales!C578, Products!A:A, 0)</f>
        <v/>
      </c>
      <c r="G578">
        <f>OFFSET(Sales!E578,1,0)</f>
        <v/>
      </c>
      <c r="H578">
        <f>IF(AND(Sales!D578*Sales!E578&gt;5000, INDEX(Products!C:C, MATCH(Sales!C578, Products!A:A, 0))="Electronics"),"High Value","Normal")</f>
        <v/>
      </c>
    </row>
    <row r="579">
      <c r="A579">
        <f>Sales!A579</f>
        <v/>
      </c>
      <c r="B579">
        <f>VLOOKUP(Sales!C579,Products!A:E,2,FALSE)</f>
        <v/>
      </c>
      <c r="C579">
        <f>INDEX(Products!C:C, MATCH(Sales!C579, Products!A:A, 0))</f>
        <v/>
      </c>
      <c r="D579">
        <f>XLOOKUP(Sales!C579, Products!A:A, Products!D:D)</f>
        <v/>
      </c>
      <c r="E579">
        <f>Sales!D579*Sales!E579</f>
        <v/>
      </c>
      <c r="F579">
        <f>MATCH(Sales!C579, Products!A:A, 0)</f>
        <v/>
      </c>
      <c r="G579">
        <f>OFFSET(Sales!E579,1,0)</f>
        <v/>
      </c>
      <c r="H579">
        <f>IF(AND(Sales!D579*Sales!E579&gt;5000, INDEX(Products!C:C, MATCH(Sales!C579, Products!A:A, 0))="Electronics"),"High Value","Normal")</f>
        <v/>
      </c>
    </row>
    <row r="580">
      <c r="A580">
        <f>Sales!A580</f>
        <v/>
      </c>
      <c r="B580">
        <f>VLOOKUP(Sales!C580,Products!A:E,2,FALSE)</f>
        <v/>
      </c>
      <c r="C580">
        <f>INDEX(Products!C:C, MATCH(Sales!C580, Products!A:A, 0))</f>
        <v/>
      </c>
      <c r="D580">
        <f>XLOOKUP(Sales!C580, Products!A:A, Products!D:D)</f>
        <v/>
      </c>
      <c r="E580">
        <f>Sales!D580*Sales!E580</f>
        <v/>
      </c>
      <c r="F580">
        <f>MATCH(Sales!C580, Products!A:A, 0)</f>
        <v/>
      </c>
      <c r="G580">
        <f>OFFSET(Sales!E580,1,0)</f>
        <v/>
      </c>
      <c r="H580">
        <f>IF(AND(Sales!D580*Sales!E580&gt;5000, INDEX(Products!C:C, MATCH(Sales!C580, Products!A:A, 0))="Electronics"),"High Value","Normal")</f>
        <v/>
      </c>
    </row>
    <row r="581">
      <c r="A581">
        <f>Sales!A581</f>
        <v/>
      </c>
      <c r="B581">
        <f>VLOOKUP(Sales!C581,Products!A:E,2,FALSE)</f>
        <v/>
      </c>
      <c r="C581">
        <f>INDEX(Products!C:C, MATCH(Sales!C581, Products!A:A, 0))</f>
        <v/>
      </c>
      <c r="D581">
        <f>XLOOKUP(Sales!C581, Products!A:A, Products!D:D)</f>
        <v/>
      </c>
      <c r="E581">
        <f>Sales!D581*Sales!E581</f>
        <v/>
      </c>
      <c r="F581">
        <f>MATCH(Sales!C581, Products!A:A, 0)</f>
        <v/>
      </c>
      <c r="G581">
        <f>OFFSET(Sales!E581,1,0)</f>
        <v/>
      </c>
      <c r="H581">
        <f>IF(AND(Sales!D581*Sales!E581&gt;5000, INDEX(Products!C:C, MATCH(Sales!C581, Products!A:A, 0))="Electronics"),"High Value","Normal")</f>
        <v/>
      </c>
    </row>
    <row r="582">
      <c r="A582">
        <f>Sales!A582</f>
        <v/>
      </c>
      <c r="B582">
        <f>VLOOKUP(Sales!C582,Products!A:E,2,FALSE)</f>
        <v/>
      </c>
      <c r="C582">
        <f>INDEX(Products!C:C, MATCH(Sales!C582, Products!A:A, 0))</f>
        <v/>
      </c>
      <c r="D582">
        <f>XLOOKUP(Sales!C582, Products!A:A, Products!D:D)</f>
        <v/>
      </c>
      <c r="E582">
        <f>Sales!D582*Sales!E582</f>
        <v/>
      </c>
      <c r="F582">
        <f>MATCH(Sales!C582, Products!A:A, 0)</f>
        <v/>
      </c>
      <c r="G582">
        <f>OFFSET(Sales!E582,1,0)</f>
        <v/>
      </c>
      <c r="H582">
        <f>IF(AND(Sales!D582*Sales!E582&gt;5000, INDEX(Products!C:C, MATCH(Sales!C582, Products!A:A, 0))="Electronics"),"High Value","Normal")</f>
        <v/>
      </c>
    </row>
    <row r="583">
      <c r="A583">
        <f>Sales!A583</f>
        <v/>
      </c>
      <c r="B583">
        <f>VLOOKUP(Sales!C583,Products!A:E,2,FALSE)</f>
        <v/>
      </c>
      <c r="C583">
        <f>INDEX(Products!C:C, MATCH(Sales!C583, Products!A:A, 0))</f>
        <v/>
      </c>
      <c r="D583">
        <f>XLOOKUP(Sales!C583, Products!A:A, Products!D:D)</f>
        <v/>
      </c>
      <c r="E583">
        <f>Sales!D583*Sales!E583</f>
        <v/>
      </c>
      <c r="F583">
        <f>MATCH(Sales!C583, Products!A:A, 0)</f>
        <v/>
      </c>
      <c r="G583">
        <f>OFFSET(Sales!E583,1,0)</f>
        <v/>
      </c>
      <c r="H583">
        <f>IF(AND(Sales!D583*Sales!E583&gt;5000, INDEX(Products!C:C, MATCH(Sales!C583, Products!A:A, 0))="Electronics"),"High Value","Normal")</f>
        <v/>
      </c>
    </row>
    <row r="584">
      <c r="A584">
        <f>Sales!A584</f>
        <v/>
      </c>
      <c r="B584">
        <f>VLOOKUP(Sales!C584,Products!A:E,2,FALSE)</f>
        <v/>
      </c>
      <c r="C584">
        <f>INDEX(Products!C:C, MATCH(Sales!C584, Products!A:A, 0))</f>
        <v/>
      </c>
      <c r="D584">
        <f>XLOOKUP(Sales!C584, Products!A:A, Products!D:D)</f>
        <v/>
      </c>
      <c r="E584">
        <f>Sales!D584*Sales!E584</f>
        <v/>
      </c>
      <c r="F584">
        <f>MATCH(Sales!C584, Products!A:A, 0)</f>
        <v/>
      </c>
      <c r="G584">
        <f>OFFSET(Sales!E584,1,0)</f>
        <v/>
      </c>
      <c r="H584">
        <f>IF(AND(Sales!D584*Sales!E584&gt;5000, INDEX(Products!C:C, MATCH(Sales!C584, Products!A:A, 0))="Electronics"),"High Value","Normal")</f>
        <v/>
      </c>
    </row>
    <row r="585">
      <c r="A585">
        <f>Sales!A585</f>
        <v/>
      </c>
      <c r="B585">
        <f>VLOOKUP(Sales!C585,Products!A:E,2,FALSE)</f>
        <v/>
      </c>
      <c r="C585">
        <f>INDEX(Products!C:C, MATCH(Sales!C585, Products!A:A, 0))</f>
        <v/>
      </c>
      <c r="D585">
        <f>XLOOKUP(Sales!C585, Products!A:A, Products!D:D)</f>
        <v/>
      </c>
      <c r="E585">
        <f>Sales!D585*Sales!E585</f>
        <v/>
      </c>
      <c r="F585">
        <f>MATCH(Sales!C585, Products!A:A, 0)</f>
        <v/>
      </c>
      <c r="G585">
        <f>OFFSET(Sales!E585,1,0)</f>
        <v/>
      </c>
      <c r="H585">
        <f>IF(AND(Sales!D585*Sales!E585&gt;5000, INDEX(Products!C:C, MATCH(Sales!C585, Products!A:A, 0))="Electronics"),"High Value","Normal")</f>
        <v/>
      </c>
    </row>
    <row r="586">
      <c r="A586">
        <f>Sales!A586</f>
        <v/>
      </c>
      <c r="B586">
        <f>VLOOKUP(Sales!C586,Products!A:E,2,FALSE)</f>
        <v/>
      </c>
      <c r="C586">
        <f>INDEX(Products!C:C, MATCH(Sales!C586, Products!A:A, 0))</f>
        <v/>
      </c>
      <c r="D586">
        <f>XLOOKUP(Sales!C586, Products!A:A, Products!D:D)</f>
        <v/>
      </c>
      <c r="E586">
        <f>Sales!D586*Sales!E586</f>
        <v/>
      </c>
      <c r="F586">
        <f>MATCH(Sales!C586, Products!A:A, 0)</f>
        <v/>
      </c>
      <c r="G586">
        <f>OFFSET(Sales!E586,1,0)</f>
        <v/>
      </c>
      <c r="H586">
        <f>IF(AND(Sales!D586*Sales!E586&gt;5000, INDEX(Products!C:C, MATCH(Sales!C586, Products!A:A, 0))="Electronics"),"High Value","Normal")</f>
        <v/>
      </c>
    </row>
    <row r="587">
      <c r="A587">
        <f>Sales!A587</f>
        <v/>
      </c>
      <c r="B587">
        <f>VLOOKUP(Sales!C587,Products!A:E,2,FALSE)</f>
        <v/>
      </c>
      <c r="C587">
        <f>INDEX(Products!C:C, MATCH(Sales!C587, Products!A:A, 0))</f>
        <v/>
      </c>
      <c r="D587">
        <f>XLOOKUP(Sales!C587, Products!A:A, Products!D:D)</f>
        <v/>
      </c>
      <c r="E587">
        <f>Sales!D587*Sales!E587</f>
        <v/>
      </c>
      <c r="F587">
        <f>MATCH(Sales!C587, Products!A:A, 0)</f>
        <v/>
      </c>
      <c r="G587">
        <f>OFFSET(Sales!E587,1,0)</f>
        <v/>
      </c>
      <c r="H587">
        <f>IF(AND(Sales!D587*Sales!E587&gt;5000, INDEX(Products!C:C, MATCH(Sales!C587, Products!A:A, 0))="Electronics"),"High Value","Normal")</f>
        <v/>
      </c>
    </row>
    <row r="588">
      <c r="A588">
        <f>Sales!A588</f>
        <v/>
      </c>
      <c r="B588">
        <f>VLOOKUP(Sales!C588,Products!A:E,2,FALSE)</f>
        <v/>
      </c>
      <c r="C588">
        <f>INDEX(Products!C:C, MATCH(Sales!C588, Products!A:A, 0))</f>
        <v/>
      </c>
      <c r="D588">
        <f>XLOOKUP(Sales!C588, Products!A:A, Products!D:D)</f>
        <v/>
      </c>
      <c r="E588">
        <f>Sales!D588*Sales!E588</f>
        <v/>
      </c>
      <c r="F588">
        <f>MATCH(Sales!C588, Products!A:A, 0)</f>
        <v/>
      </c>
      <c r="G588">
        <f>OFFSET(Sales!E588,1,0)</f>
        <v/>
      </c>
      <c r="H588">
        <f>IF(AND(Sales!D588*Sales!E588&gt;5000, INDEX(Products!C:C, MATCH(Sales!C588, Products!A:A, 0))="Electronics"),"High Value","Normal")</f>
        <v/>
      </c>
    </row>
    <row r="589">
      <c r="A589">
        <f>Sales!A589</f>
        <v/>
      </c>
      <c r="B589">
        <f>VLOOKUP(Sales!C589,Products!A:E,2,FALSE)</f>
        <v/>
      </c>
      <c r="C589">
        <f>INDEX(Products!C:C, MATCH(Sales!C589, Products!A:A, 0))</f>
        <v/>
      </c>
      <c r="D589">
        <f>XLOOKUP(Sales!C589, Products!A:A, Products!D:D)</f>
        <v/>
      </c>
      <c r="E589">
        <f>Sales!D589*Sales!E589</f>
        <v/>
      </c>
      <c r="F589">
        <f>MATCH(Sales!C589, Products!A:A, 0)</f>
        <v/>
      </c>
      <c r="G589">
        <f>OFFSET(Sales!E589,1,0)</f>
        <v/>
      </c>
      <c r="H589">
        <f>IF(AND(Sales!D589*Sales!E589&gt;5000, INDEX(Products!C:C, MATCH(Sales!C589, Products!A:A, 0))="Electronics"),"High Value","Normal")</f>
        <v/>
      </c>
    </row>
    <row r="590">
      <c r="A590">
        <f>Sales!A590</f>
        <v/>
      </c>
      <c r="B590">
        <f>VLOOKUP(Sales!C590,Products!A:E,2,FALSE)</f>
        <v/>
      </c>
      <c r="C590">
        <f>INDEX(Products!C:C, MATCH(Sales!C590, Products!A:A, 0))</f>
        <v/>
      </c>
      <c r="D590">
        <f>XLOOKUP(Sales!C590, Products!A:A, Products!D:D)</f>
        <v/>
      </c>
      <c r="E590">
        <f>Sales!D590*Sales!E590</f>
        <v/>
      </c>
      <c r="F590">
        <f>MATCH(Sales!C590, Products!A:A, 0)</f>
        <v/>
      </c>
      <c r="G590">
        <f>OFFSET(Sales!E590,1,0)</f>
        <v/>
      </c>
      <c r="H590">
        <f>IF(AND(Sales!D590*Sales!E590&gt;5000, INDEX(Products!C:C, MATCH(Sales!C590, Products!A:A, 0))="Electronics"),"High Value","Normal")</f>
        <v/>
      </c>
    </row>
    <row r="591">
      <c r="A591">
        <f>Sales!A591</f>
        <v/>
      </c>
      <c r="B591">
        <f>VLOOKUP(Sales!C591,Products!A:E,2,FALSE)</f>
        <v/>
      </c>
      <c r="C591">
        <f>INDEX(Products!C:C, MATCH(Sales!C591, Products!A:A, 0))</f>
        <v/>
      </c>
      <c r="D591">
        <f>XLOOKUP(Sales!C591, Products!A:A, Products!D:D)</f>
        <v/>
      </c>
      <c r="E591">
        <f>Sales!D591*Sales!E591</f>
        <v/>
      </c>
      <c r="F591">
        <f>MATCH(Sales!C591, Products!A:A, 0)</f>
        <v/>
      </c>
      <c r="G591">
        <f>OFFSET(Sales!E591,1,0)</f>
        <v/>
      </c>
      <c r="H591">
        <f>IF(AND(Sales!D591*Sales!E591&gt;5000, INDEX(Products!C:C, MATCH(Sales!C591, Products!A:A, 0))="Electronics"),"High Value","Normal")</f>
        <v/>
      </c>
    </row>
    <row r="592">
      <c r="A592">
        <f>Sales!A592</f>
        <v/>
      </c>
      <c r="B592">
        <f>VLOOKUP(Sales!C592,Products!A:E,2,FALSE)</f>
        <v/>
      </c>
      <c r="C592">
        <f>INDEX(Products!C:C, MATCH(Sales!C592, Products!A:A, 0))</f>
        <v/>
      </c>
      <c r="D592">
        <f>XLOOKUP(Sales!C592, Products!A:A, Products!D:D)</f>
        <v/>
      </c>
      <c r="E592">
        <f>Sales!D592*Sales!E592</f>
        <v/>
      </c>
      <c r="F592">
        <f>MATCH(Sales!C592, Products!A:A, 0)</f>
        <v/>
      </c>
      <c r="G592">
        <f>OFFSET(Sales!E592,1,0)</f>
        <v/>
      </c>
      <c r="H592">
        <f>IF(AND(Sales!D592*Sales!E592&gt;5000, INDEX(Products!C:C, MATCH(Sales!C592, Products!A:A, 0))="Electronics"),"High Value","Normal")</f>
        <v/>
      </c>
    </row>
    <row r="593">
      <c r="A593">
        <f>Sales!A593</f>
        <v/>
      </c>
      <c r="B593">
        <f>VLOOKUP(Sales!C593,Products!A:E,2,FALSE)</f>
        <v/>
      </c>
      <c r="C593">
        <f>INDEX(Products!C:C, MATCH(Sales!C593, Products!A:A, 0))</f>
        <v/>
      </c>
      <c r="D593">
        <f>XLOOKUP(Sales!C593, Products!A:A, Products!D:D)</f>
        <v/>
      </c>
      <c r="E593">
        <f>Sales!D593*Sales!E593</f>
        <v/>
      </c>
      <c r="F593">
        <f>MATCH(Sales!C593, Products!A:A, 0)</f>
        <v/>
      </c>
      <c r="G593">
        <f>OFFSET(Sales!E593,1,0)</f>
        <v/>
      </c>
      <c r="H593">
        <f>IF(AND(Sales!D593*Sales!E593&gt;5000, INDEX(Products!C:C, MATCH(Sales!C593, Products!A:A, 0))="Electronics"),"High Value","Normal")</f>
        <v/>
      </c>
    </row>
    <row r="594">
      <c r="A594">
        <f>Sales!A594</f>
        <v/>
      </c>
      <c r="B594">
        <f>VLOOKUP(Sales!C594,Products!A:E,2,FALSE)</f>
        <v/>
      </c>
      <c r="C594">
        <f>INDEX(Products!C:C, MATCH(Sales!C594, Products!A:A, 0))</f>
        <v/>
      </c>
      <c r="D594">
        <f>XLOOKUP(Sales!C594, Products!A:A, Products!D:D)</f>
        <v/>
      </c>
      <c r="E594">
        <f>Sales!D594*Sales!E594</f>
        <v/>
      </c>
      <c r="F594">
        <f>MATCH(Sales!C594, Products!A:A, 0)</f>
        <v/>
      </c>
      <c r="G594">
        <f>OFFSET(Sales!E594,1,0)</f>
        <v/>
      </c>
      <c r="H594">
        <f>IF(AND(Sales!D594*Sales!E594&gt;5000, INDEX(Products!C:C, MATCH(Sales!C594, Products!A:A, 0))="Electronics"),"High Value","Normal")</f>
        <v/>
      </c>
    </row>
    <row r="595">
      <c r="A595">
        <f>Sales!A595</f>
        <v/>
      </c>
      <c r="B595">
        <f>VLOOKUP(Sales!C595,Products!A:E,2,FALSE)</f>
        <v/>
      </c>
      <c r="C595">
        <f>INDEX(Products!C:C, MATCH(Sales!C595, Products!A:A, 0))</f>
        <v/>
      </c>
      <c r="D595">
        <f>XLOOKUP(Sales!C595, Products!A:A, Products!D:D)</f>
        <v/>
      </c>
      <c r="E595">
        <f>Sales!D595*Sales!E595</f>
        <v/>
      </c>
      <c r="F595">
        <f>MATCH(Sales!C595, Products!A:A, 0)</f>
        <v/>
      </c>
      <c r="G595">
        <f>OFFSET(Sales!E595,1,0)</f>
        <v/>
      </c>
      <c r="H595">
        <f>IF(AND(Sales!D595*Sales!E595&gt;5000, INDEX(Products!C:C, MATCH(Sales!C595, Products!A:A, 0))="Electronics"),"High Value","Normal")</f>
        <v/>
      </c>
    </row>
    <row r="596">
      <c r="A596">
        <f>Sales!A596</f>
        <v/>
      </c>
      <c r="B596">
        <f>VLOOKUP(Sales!C596,Products!A:E,2,FALSE)</f>
        <v/>
      </c>
      <c r="C596">
        <f>INDEX(Products!C:C, MATCH(Sales!C596, Products!A:A, 0))</f>
        <v/>
      </c>
      <c r="D596">
        <f>XLOOKUP(Sales!C596, Products!A:A, Products!D:D)</f>
        <v/>
      </c>
      <c r="E596">
        <f>Sales!D596*Sales!E596</f>
        <v/>
      </c>
      <c r="F596">
        <f>MATCH(Sales!C596, Products!A:A, 0)</f>
        <v/>
      </c>
      <c r="G596">
        <f>OFFSET(Sales!E596,1,0)</f>
        <v/>
      </c>
      <c r="H596">
        <f>IF(AND(Sales!D596*Sales!E596&gt;5000, INDEX(Products!C:C, MATCH(Sales!C596, Products!A:A, 0))="Electronics"),"High Value","Normal")</f>
        <v/>
      </c>
    </row>
    <row r="597">
      <c r="A597">
        <f>Sales!A597</f>
        <v/>
      </c>
      <c r="B597">
        <f>VLOOKUP(Sales!C597,Products!A:E,2,FALSE)</f>
        <v/>
      </c>
      <c r="C597">
        <f>INDEX(Products!C:C, MATCH(Sales!C597, Products!A:A, 0))</f>
        <v/>
      </c>
      <c r="D597">
        <f>XLOOKUP(Sales!C597, Products!A:A, Products!D:D)</f>
        <v/>
      </c>
      <c r="E597">
        <f>Sales!D597*Sales!E597</f>
        <v/>
      </c>
      <c r="F597">
        <f>MATCH(Sales!C597, Products!A:A, 0)</f>
        <v/>
      </c>
      <c r="G597">
        <f>OFFSET(Sales!E597,1,0)</f>
        <v/>
      </c>
      <c r="H597">
        <f>IF(AND(Sales!D597*Sales!E597&gt;5000, INDEX(Products!C:C, MATCH(Sales!C597, Products!A:A, 0))="Electronics"),"High Value","Normal")</f>
        <v/>
      </c>
    </row>
    <row r="598">
      <c r="A598">
        <f>Sales!A598</f>
        <v/>
      </c>
      <c r="B598">
        <f>VLOOKUP(Sales!C598,Products!A:E,2,FALSE)</f>
        <v/>
      </c>
      <c r="C598">
        <f>INDEX(Products!C:C, MATCH(Sales!C598, Products!A:A, 0))</f>
        <v/>
      </c>
      <c r="D598">
        <f>XLOOKUP(Sales!C598, Products!A:A, Products!D:D)</f>
        <v/>
      </c>
      <c r="E598">
        <f>Sales!D598*Sales!E598</f>
        <v/>
      </c>
      <c r="F598">
        <f>MATCH(Sales!C598, Products!A:A, 0)</f>
        <v/>
      </c>
      <c r="G598">
        <f>OFFSET(Sales!E598,1,0)</f>
        <v/>
      </c>
      <c r="H598">
        <f>IF(AND(Sales!D598*Sales!E598&gt;5000, INDEX(Products!C:C, MATCH(Sales!C598, Products!A:A, 0))="Electronics"),"High Value","Normal")</f>
        <v/>
      </c>
    </row>
    <row r="599">
      <c r="A599">
        <f>Sales!A599</f>
        <v/>
      </c>
      <c r="B599">
        <f>VLOOKUP(Sales!C599,Products!A:E,2,FALSE)</f>
        <v/>
      </c>
      <c r="C599">
        <f>INDEX(Products!C:C, MATCH(Sales!C599, Products!A:A, 0))</f>
        <v/>
      </c>
      <c r="D599">
        <f>XLOOKUP(Sales!C599, Products!A:A, Products!D:D)</f>
        <v/>
      </c>
      <c r="E599">
        <f>Sales!D599*Sales!E599</f>
        <v/>
      </c>
      <c r="F599">
        <f>MATCH(Sales!C599, Products!A:A, 0)</f>
        <v/>
      </c>
      <c r="G599">
        <f>OFFSET(Sales!E599,1,0)</f>
        <v/>
      </c>
      <c r="H599">
        <f>IF(AND(Sales!D599*Sales!E599&gt;5000, INDEX(Products!C:C, MATCH(Sales!C599, Products!A:A, 0))="Electronics"),"High Value","Normal")</f>
        <v/>
      </c>
    </row>
    <row r="600">
      <c r="A600">
        <f>Sales!A600</f>
        <v/>
      </c>
      <c r="B600">
        <f>VLOOKUP(Sales!C600,Products!A:E,2,FALSE)</f>
        <v/>
      </c>
      <c r="C600">
        <f>INDEX(Products!C:C, MATCH(Sales!C600, Products!A:A, 0))</f>
        <v/>
      </c>
      <c r="D600">
        <f>XLOOKUP(Sales!C600, Products!A:A, Products!D:D)</f>
        <v/>
      </c>
      <c r="E600">
        <f>Sales!D600*Sales!E600</f>
        <v/>
      </c>
      <c r="F600">
        <f>MATCH(Sales!C600, Products!A:A, 0)</f>
        <v/>
      </c>
      <c r="G600">
        <f>OFFSET(Sales!E600,1,0)</f>
        <v/>
      </c>
      <c r="H600">
        <f>IF(AND(Sales!D600*Sales!E600&gt;5000, INDEX(Products!C:C, MATCH(Sales!C600, Products!A:A, 0))="Electronics"),"High Value","Normal")</f>
        <v/>
      </c>
    </row>
    <row r="601">
      <c r="A601">
        <f>Sales!A601</f>
        <v/>
      </c>
      <c r="B601">
        <f>VLOOKUP(Sales!C601,Products!A:E,2,FALSE)</f>
        <v/>
      </c>
      <c r="C601">
        <f>INDEX(Products!C:C, MATCH(Sales!C601, Products!A:A, 0))</f>
        <v/>
      </c>
      <c r="D601">
        <f>XLOOKUP(Sales!C601, Products!A:A, Products!D:D)</f>
        <v/>
      </c>
      <c r="E601">
        <f>Sales!D601*Sales!E601</f>
        <v/>
      </c>
      <c r="F601">
        <f>MATCH(Sales!C601, Products!A:A, 0)</f>
        <v/>
      </c>
      <c r="G601">
        <f>OFFSET(Sales!E601,1,0)</f>
        <v/>
      </c>
      <c r="H601">
        <f>IF(AND(Sales!D601*Sales!E601&gt;5000, INDEX(Products!C:C, MATCH(Sales!C601, Products!A:A, 0))="Electronics"),"High Value","Normal")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2026-04-23T18:06:49Z</dcterms:created>
  <dcterms:modified xmlns:dcterms="http://purl.org/dc/terms/" xmlns:xsi="http://www.w3.org/2001/XMLSchema-instance" xsi:type="dcterms:W3CDTF">2026-04-23T18:06:49Z</dcterms:modified>
</cp:coreProperties>
</file>
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"/>
    </mc:Choice>
  </mc:AlternateContent>
  <xr:revisionPtr revIDLastSave="0" documentId="13_ncr:20001_{EA0A584B-5191-4BD8-BB69-02733BC5BA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3" r:id="rId2"/>
    <sheet name="Dashboard" sheetId="2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3" l="1" a="1"/>
  <c r="M15" i="3" s="1"/>
  <c r="L15" i="3" a="1"/>
  <c r="L15" i="3" s="1"/>
  <c r="K15" i="3" a="1"/>
  <c r="K15" i="3" s="1"/>
  <c r="J15" i="3" a="1"/>
  <c r="J15" i="3" s="1"/>
  <c r="H15" i="3" a="1"/>
  <c r="H15" i="3" s="1"/>
  <c r="G15" i="3" a="1"/>
  <c r="G15" i="3" s="1"/>
  <c r="F11" i="2"/>
  <c r="E11" i="2"/>
  <c r="D11" i="2"/>
  <c r="C11" i="2"/>
  <c r="B11" i="2"/>
  <c r="F10" i="2"/>
  <c r="E10" i="2"/>
  <c r="D10" i="2"/>
  <c r="C10" i="2"/>
  <c r="B10" i="2"/>
  <c r="I5" i="2"/>
  <c r="F5" i="2"/>
  <c r="C5" i="2"/>
  <c r="N70" i="1"/>
  <c r="M70" i="1"/>
  <c r="L70" i="1"/>
  <c r="K70" i="1"/>
  <c r="J70" i="1"/>
  <c r="I70" i="1"/>
  <c r="H70" i="1"/>
  <c r="G70" i="1"/>
  <c r="N69" i="1"/>
  <c r="M69" i="1"/>
  <c r="L69" i="1"/>
  <c r="K69" i="1"/>
  <c r="J69" i="1"/>
  <c r="I69" i="1"/>
  <c r="H69" i="1"/>
  <c r="G69" i="1"/>
  <c r="G64" i="1"/>
  <c r="G59" i="1"/>
  <c r="G52" i="1"/>
  <c r="F47" i="1"/>
  <c r="F46" i="1"/>
  <c r="E40" i="1"/>
  <c r="E39" i="1"/>
  <c r="E38" i="1"/>
  <c r="M37" i="1"/>
  <c r="L37" i="1"/>
  <c r="K37" i="1"/>
  <c r="J37" i="1"/>
  <c r="I37" i="1"/>
  <c r="H37" i="1"/>
  <c r="G37" i="1"/>
  <c r="F37" i="1"/>
  <c r="E37" i="1"/>
  <c r="E36" i="1"/>
  <c r="G31" i="1"/>
  <c r="G30" i="1"/>
  <c r="G29" i="1"/>
  <c r="F29" i="1"/>
  <c r="G28" i="1"/>
  <c r="F28" i="1"/>
  <c r="N22" i="1"/>
  <c r="N21" i="1"/>
  <c r="L21" i="1"/>
  <c r="J21" i="1"/>
  <c r="N20" i="1"/>
  <c r="L20" i="1"/>
  <c r="J20" i="1"/>
  <c r="N19" i="1"/>
  <c r="L19" i="1"/>
  <c r="J19" i="1"/>
  <c r="I19" i="1"/>
  <c r="F19" i="1"/>
  <c r="N18" i="1"/>
  <c r="L18" i="1"/>
  <c r="J18" i="1"/>
  <c r="I18" i="1"/>
  <c r="F18" i="1"/>
  <c r="N17" i="1"/>
  <c r="M17" i="1"/>
  <c r="L17" i="1"/>
  <c r="J17" i="1"/>
  <c r="I17" i="1"/>
  <c r="H17" i="1"/>
  <c r="G17" i="1"/>
  <c r="F17" i="1"/>
  <c r="N16" i="1"/>
  <c r="M16" i="1"/>
  <c r="L16" i="1"/>
  <c r="J16" i="1"/>
  <c r="I16" i="1"/>
  <c r="H16" i="1"/>
  <c r="G16" i="1"/>
  <c r="F16" i="1"/>
  <c r="E16" i="1"/>
  <c r="N15" i="1"/>
  <c r="M15" i="1"/>
  <c r="L15" i="1"/>
  <c r="K15" i="1"/>
  <c r="J15" i="1"/>
  <c r="I15" i="1"/>
  <c r="H15" i="1"/>
  <c r="G15" i="1"/>
  <c r="F15" i="1"/>
  <c r="E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<sst xmlns="http://schemas.openxmlformats.org/spreadsheetml/2006/main" count="250" uniqueCount="115">
  <si>
    <t>Employee ID</t>
  </si>
  <si>
    <t>Name</t>
  </si>
  <si>
    <t>Department</t>
  </si>
  <si>
    <t>Salary</t>
  </si>
  <si>
    <t>Location</t>
  </si>
  <si>
    <t>Joining Date</t>
  </si>
  <si>
    <t>Experience (Years)</t>
  </si>
  <si>
    <t>Performance Rating</t>
  </si>
  <si>
    <t>IT</t>
  </si>
  <si>
    <t>Alice</t>
  </si>
  <si>
    <t>HR</t>
  </si>
  <si>
    <t>Delhi</t>
  </si>
  <si>
    <t>Sales</t>
  </si>
  <si>
    <t>Bob</t>
  </si>
  <si>
    <t>Finance</t>
  </si>
  <si>
    <t>Mumbai</t>
  </si>
  <si>
    <t>15/03/2019</t>
  </si>
  <si>
    <t>Charlie</t>
  </si>
  <si>
    <t>Bangalore</t>
  </si>
  <si>
    <t>20/07/2021</t>
  </si>
  <si>
    <t>Diana</t>
  </si>
  <si>
    <t>Marketing</t>
  </si>
  <si>
    <t>Ethan</t>
  </si>
  <si>
    <t>Pune</t>
  </si>
  <si>
    <t>Fiona</t>
  </si>
  <si>
    <t>Hyderabad</t>
  </si>
  <si>
    <t>George</t>
  </si>
  <si>
    <t>22/08/2023</t>
  </si>
  <si>
    <t>Harry</t>
  </si>
  <si>
    <t>18/02/2020</t>
  </si>
  <si>
    <t>Ivy</t>
  </si>
  <si>
    <t>Kolkata</t>
  </si>
  <si>
    <t>30/09/2021</t>
  </si>
  <si>
    <t>Jack</t>
  </si>
  <si>
    <t>25/12/2016</t>
  </si>
  <si>
    <t>LEVEL 1: BASIC FILTER (Foundation)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</si>
  <si>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</si>
  <si>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</si>
  <si>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</si>
  <si>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</si>
  <si>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</si>
  <si>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</si>
  <si>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</si>
  <si>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</si>
  <si>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</si>
  <si>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</si>
  <si>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Show only employees from IT department</t>
  </si>
  <si>
    <t>Show employees with Salary &gt; 60000</t>
  </si>
  <si>
    <t>Show employees from Delhi</t>
  </si>
  <si>
    <t>Show employees with Performance Rating = 5</t>
  </si>
  <si>
    <t>Show employees with Experience &gt; 3 years</t>
  </si>
  <si>
    <t>Show employees who joined after 2020</t>
  </si>
  <si>
    <t>Show employees whose name starts with A</t>
  </si>
  <si>
    <t>Show employees whose name contains a</t>
  </si>
  <si>
    <t>Show employees with Salary between 50000–70000</t>
  </si>
  <si>
    <t>Show employees NOT from Finance</t>
  </si>
  <si>
    <t>LEVEL 2: INTERMEDIATE FILTER (Multi Condition)</t>
  </si>
  <si>
    <t>Salary &gt; 60000 AND Department = IT</t>
  </si>
  <si>
    <t>Location = Delhi AND Experience &gt; 2</t>
  </si>
  <si>
    <t>Department = Sales OR Marketing</t>
  </si>
  <si>
    <t>Rating ≥ 4 AND Salary &lt; 80000</t>
  </si>
  <si>
    <t>Experience between 2 and 5 AND Location = Mumbai</t>
  </si>
  <si>
    <t>Salary &gt; 50000 AND Rating = 5</t>
  </si>
  <si>
    <t>Department = HR AND Salary &lt; 50000</t>
  </si>
  <si>
    <t>Location ≠ Delhi AND Rating ≥ 4</t>
  </si>
  <si>
    <t>Name contains "a" AND Salary &gt; 55000</t>
  </si>
  <si>
    <t>Joined before 2020 AND Rating = 5</t>
  </si>
  <si>
    <t>LEVEL 3: ADVANCED FILTER (Real Analyst Level)</t>
  </si>
  <si>
    <t>Top 3 highest salary employees</t>
  </si>
  <si>
    <t>Bottom 2 salary employees</t>
  </si>
  <si>
    <t>Employees with highest salary in each department</t>
  </si>
  <si>
    <t>Employees with duplicate salary values</t>
  </si>
  <si>
    <t>Employees with unique departments only</t>
  </si>
  <si>
    <t>Employees whose salary is above average salary</t>
  </si>
  <si>
    <t>Employees whose experience is below average experience</t>
  </si>
  <si>
    <t>Employees with latest joining date</t>
  </si>
  <si>
    <t>Employees who joined in last 3 years</t>
  </si>
  <si>
    <t>Employees whose name length &gt; 5</t>
  </si>
  <si>
    <t>LEVEL 4: EXPERT FILTER (Interview + Real World)</t>
  </si>
  <si>
    <t>Dynamic filter using dropdown (Department select karo → data change ho)</t>
  </si>
  <si>
    <t>Multi-select filter (Sales + IT dono ek saath)</t>
  </si>
  <si>
    <t>Filter + Sort (Salary descending)</t>
  </si>
  <si>
    <t>Filter + Top N (Top 5 by rating)</t>
  </si>
  <si>
    <t>Filter employees where salary is top 20%</t>
  </si>
  <si>
    <t>Filter employees whose salary is greater than median</t>
  </si>
  <si>
    <t>Filter employees with second highest salary</t>
  </si>
  <si>
    <t>Filter employees excluding top performer (rating 5)</t>
  </si>
  <si>
    <t>Filter employees where experience growth trend is increasing</t>
  </si>
  <si>
    <t>Filter employees whose joining year is even (2018, 2020…)</t>
  </si>
  <si>
    <t>LEVEL 5: PRO LEVEL (Dashboard + Interview Killer)</t>
  </si>
  <si>
    <t>Create dynamic dashboard filter using slicer + FILTER()</t>
  </si>
  <si>
    <t>Create KPI:</t>
  </si>
  <si>
    <t>Total employees after filter</t>
  </si>
  <si>
    <t>Avg salary after filter</t>
  </si>
  <si>
    <t>Dependent filter:</t>
  </si>
  <si>
    <t>First Department select → then Location filter change</t>
  </si>
  <si>
    <t>Search box filter (type name → data filter)</t>
  </si>
  <si>
    <t>Highlight filtered data automatically</t>
  </si>
  <si>
    <t>Combine FILTER + UNIQUE</t>
  </si>
  <si>
    <t>Combine FILTER + SORT</t>
  </si>
  <si>
    <t>Combine FILTER + XLOOKUP</t>
  </si>
  <si>
    <t>Create dynamic report:</t>
  </si>
  <si>
    <t>“Show top 3 employees in selected department”</t>
  </si>
  <si>
    <t>Create fully interactive HR dashboard using FILTER</t>
  </si>
  <si>
    <t>Delhi, Mumbai, Hyderabad, Bangalore, Pune, Kolkata</t>
  </si>
  <si>
    <t>Min Salary:</t>
  </si>
  <si>
    <t>Total employee</t>
  </si>
  <si>
    <t>average salary</t>
  </si>
  <si>
    <t>max salary</t>
  </si>
  <si>
    <t>#ERROR!</t>
  </si>
  <si>
    <t>ans1</t>
  </si>
  <si>
    <t>ans2</t>
  </si>
  <si>
    <t>ans 3</t>
  </si>
  <si>
    <t>ans4</t>
  </si>
  <si>
    <t>ans6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</si>
</sst>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2"/>
  <sheetViews>
    <sheetView workbookViewId="0">
      <pane ySplit="11" topLeftCell="A12" activePane="bottomLeft" state="frozen"/>
      <selection pane="bottomLeft" activeCell="K15" sqref="K15"/>
    </sheetView>
  </sheetViews>
  <sheetFormatPr defaultColWidth="12.6640625" defaultRowHeight="15.75" customHeight="1" x14ac:dyDescent="0.25"/>
  <cols>
    <col min="6" max="6" width="10.21875" customWidth="1"/>
    <col min="7" max="7" width="15.109375" customWidth="1"/>
    <col min="8" max="8" width="15.88671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spans="1:14" x14ac:dyDescent="0.25">
      <c r="A2" s="1">
        <v>101</v>
      </c>
      <c r="B2" s="1" t="s">
        <v>9</v>
      </c>
      <c r="C2" s="1" t="s">
        <v>10</v>
      </c>
      <c r="D2" s="3">
        <v>50000</v>
      </c>
      <c r="E2" s="1" t="s">
        <v>11</v>
      </c>
      <c r="F2" s="4">
        <v>43831</v>
      </c>
      <c r="G2" s="1">
        <v>3</v>
      </c>
      <c r="H2" s="1">
        <v>4</v>
      </c>
      <c r="J2" s="2" t="s">
        <v>12</v>
      </c>
    </row>
    <row r="3" spans="1:14" x14ac:dyDescent="0.25">
      <c r="A3" s="1">
        <v>102</v>
      </c>
      <c r="B3" s="1" t="s">
        <v>13</v>
      </c>
      <c r="C3" s="1" t="s">
        <v>14</v>
      </c>
      <c r="D3" s="3">
        <v>50000</v>
      </c>
      <c r="E3" s="1" t="s">
        <v>15</v>
      </c>
      <c r="F3" s="4" t="s">
        <v>16</v>
      </c>
      <c r="G3" s="1">
        <v>5</v>
      </c>
      <c r="H3" s="1">
        <v>5</v>
      </c>
      <c r="J3" s="2" t="s">
        <v>8</v>
      </c>
    </row>
    <row r="4" spans="1:14" x14ac:dyDescent="0.25">
      <c r="A4" s="1">
        <v>103</v>
      </c>
      <c r="B4" s="1" t="s">
        <v>17</v>
      </c>
      <c r="C4" s="1" t="s">
        <v>8</v>
      </c>
      <c r="D4" s="3">
        <v>70000</v>
      </c>
      <c r="E4" s="1" t="s">
        <v>18</v>
      </c>
      <c r="F4" s="4" t="s">
        <v>19</v>
      </c>
      <c r="G4" s="1">
        <v>2</v>
      </c>
      <c r="H4" s="1">
        <v>3</v>
      </c>
    </row>
    <row r="5" spans="1:14" x14ac:dyDescent="0.25">
      <c r="A5" s="1">
        <v>104</v>
      </c>
      <c r="B5" s="1" t="s">
        <v>20</v>
      </c>
      <c r="C5" s="1" t="s">
        <v>21</v>
      </c>
      <c r="D5" s="3">
        <v>55000</v>
      </c>
      <c r="E5" s="1" t="s">
        <v>11</v>
      </c>
      <c r="F5" s="4">
        <v>43383</v>
      </c>
      <c r="G5" s="1">
        <v>6</v>
      </c>
      <c r="H5" s="1">
        <v>4</v>
      </c>
    </row>
    <row r="6" spans="1:14" x14ac:dyDescent="0.25">
      <c r="A6" s="1">
        <v>105</v>
      </c>
      <c r="B6" s="1" t="s">
        <v>22</v>
      </c>
      <c r="C6" s="1" t="s">
        <v>12</v>
      </c>
      <c r="D6" s="3">
        <v>65000</v>
      </c>
      <c r="E6" s="1" t="s">
        <v>23</v>
      </c>
      <c r="F6" s="4">
        <v>44686</v>
      </c>
      <c r="G6" s="1">
        <v>1</v>
      </c>
      <c r="H6" s="1">
        <v>2</v>
      </c>
    </row>
    <row r="7" spans="1:14" x14ac:dyDescent="0.25">
      <c r="A7" s="1">
        <v>106</v>
      </c>
      <c r="B7" s="1" t="s">
        <v>24</v>
      </c>
      <c r="C7" s="1" t="s">
        <v>8</v>
      </c>
      <c r="D7" s="3">
        <v>80000</v>
      </c>
      <c r="E7" s="1" t="s">
        <v>25</v>
      </c>
      <c r="F7" s="4">
        <v>43081</v>
      </c>
      <c r="G7" s="1">
        <v>7</v>
      </c>
      <c r="H7" s="1">
        <v>5</v>
      </c>
    </row>
    <row r="8" spans="1:14" x14ac:dyDescent="0.25">
      <c r="A8" s="1">
        <v>107</v>
      </c>
      <c r="B8" s="1" t="s">
        <v>26</v>
      </c>
      <c r="C8" s="1" t="s">
        <v>12</v>
      </c>
      <c r="D8" s="3">
        <v>45000</v>
      </c>
      <c r="E8" s="1" t="s">
        <v>11</v>
      </c>
      <c r="F8" s="4" t="s">
        <v>27</v>
      </c>
      <c r="G8" s="1">
        <v>0</v>
      </c>
      <c r="H8" s="1">
        <v>3</v>
      </c>
    </row>
    <row r="9" spans="1:14" x14ac:dyDescent="0.25">
      <c r="A9" s="1">
        <v>108</v>
      </c>
      <c r="B9" s="1" t="s">
        <v>28</v>
      </c>
      <c r="C9" s="1" t="s">
        <v>14</v>
      </c>
      <c r="D9" s="3">
        <v>72000</v>
      </c>
      <c r="E9" s="1" t="s">
        <v>15</v>
      </c>
      <c r="F9" s="4" t="s">
        <v>29</v>
      </c>
      <c r="G9" s="1">
        <v>4</v>
      </c>
      <c r="H9" s="1">
        <v>4</v>
      </c>
    </row>
    <row r="10" spans="1:14" x14ac:dyDescent="0.25">
      <c r="A10" s="1">
        <v>109</v>
      </c>
      <c r="B10" s="1" t="s">
        <v>30</v>
      </c>
      <c r="C10" s="1" t="s">
        <v>10</v>
      </c>
      <c r="D10" s="3">
        <v>48000</v>
      </c>
      <c r="E10" s="1" t="s">
        <v>31</v>
      </c>
      <c r="F10" s="4" t="s">
        <v>32</v>
      </c>
      <c r="G10" s="1">
        <v>2</v>
      </c>
      <c r="H10" s="1">
        <v>3</v>
      </c>
    </row>
    <row r="11" spans="1:14" x14ac:dyDescent="0.25">
      <c r="A11" s="1">
        <v>110</v>
      </c>
      <c r="B11" s="1" t="s">
        <v>33</v>
      </c>
      <c r="C11" s="1" t="s">
        <v>21</v>
      </c>
      <c r="D11" s="3">
        <v>90000</v>
      </c>
      <c r="E11" s="1" t="s">
        <v>18</v>
      </c>
      <c r="F11" s="4" t="s">
        <v>34</v>
      </c>
      <c r="G11" s="1">
        <v>8</v>
      </c>
      <c r="H11" s="1">
        <v>5</v>
      </c>
    </row>
    <row r="12" spans="1:14" x14ac:dyDescent="0.25">
      <c r="A12" s="1"/>
      <c r="B12" s="1"/>
      <c r="C12" s="1"/>
      <c r="D12" s="1"/>
      <c r="E12" s="1"/>
      <c r="F12" s="1"/>
      <c r="G12" s="1"/>
      <c r="H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</row>
    <row r="14" spans="1:14" x14ac:dyDescent="0.25">
      <c r="A14" s="8" t="s">
        <v>35</v>
      </c>
      <c r="B14" s="9"/>
      <c r="C14" s="9"/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</row>
    <row r="15" spans="1:14" x14ac:dyDescent="0.25">
      <c r="A15" s="2">
        <v>1</v>
      </c>
      <c r="B15" s="2" t="s">
        <v>46</v>
      </c>
      <c r="E15" s="2" t="str">
        <f ca="1">IFERROR(__xludf.DUMMYFUNCTION("FILTER(B2:B11,C2:C11=""IT"")"),"Charlie")</f>
        <v>Charlie</v>
      </c>
      <c r="F15" s="2" t="str">
        <f ca="1">IFERROR(__xludf.DUMMYFUNCTION("filter(B2:B11,D2:D11&gt;60000)"),"Charlie")</f>
        <v>Charlie</v>
      </c>
      <c r="G15" s="2" t="str">
        <f ca="1">IFERROR(__xludf.DUMMYFUNCTION("FILTER(B2:B11,E2:E11=E2)"),"Alice")</f>
        <v>Alice</v>
      </c>
      <c r="H15" s="2" t="str">
        <f ca="1">IFERROR(__xludf.DUMMYFUNCTION("filter(B2:B11,H2:H11=5)"),"Bob")</f>
        <v>Bob</v>
      </c>
      <c r="I15" s="2" t="str">
        <f ca="1">IFERROR(__xludf.DUMMYFUNCTION("filter(B2:B11,G2:G11&gt;3)"),"Bob")</f>
        <v>Bob</v>
      </c>
      <c r="J15" s="2" t="str">
        <f ca="1">IFERROR(__xludf.DUMMYFUNCTION("FILTER(B2:B11,F2:F11&gt;DATE(2020,1,1))"),"Bob")</f>
        <v>Bob</v>
      </c>
      <c r="K15" s="2" t="str">
        <f ca="1">IFERROR(__xludf.DUMMYFUNCTION("filter(B2:B11,left(B2:B11,1)=""A"")"),"Alice")</f>
        <v>Alice</v>
      </c>
      <c r="L15" s="2" t="str">
        <f ca="1">IFERROR(__xludf.DUMMYFUNCTION("filter(B2:B11,ISNUMBER(search(""a"",B2:B11)))"),"Alice")</f>
        <v>Alice</v>
      </c>
      <c r="M15" s="2" t="str">
        <f ca="1">IFERROR(__xludf.DUMMYFUNCTION("filter(B2:B11,D2:D11&gt;50000,D2:D11&lt;=70000)"),"Charlie")</f>
        <v>Charlie</v>
      </c>
      <c r="N15" s="2" t="str">
        <f ca="1">IFERROR(__xludf.DUMMYFUNCTION("filter(B2:B11,C2:C11&lt;&gt;""Finance"")"),"Alice")</f>
        <v>Alice</v>
      </c>
    </row>
    <row r="16" spans="1:14" x14ac:dyDescent="0.25">
      <c r="A16" s="2">
        <v>2</v>
      </c>
      <c r="B16" s="2" t="s">
        <v>47</v>
      </c>
      <c r="E16" s="2" t="str">
        <f ca="1">IFERROR(__xludf.DUMMYFUNCTION("""COMPUTED_VALUE"""),"Fiona")</f>
        <v>Fiona</v>
      </c>
      <c r="F16" s="2" t="str">
        <f ca="1">IFERROR(__xludf.DUMMYFUNCTION("""COMPUTED_VALUE"""),"Ethan")</f>
        <v>Ethan</v>
      </c>
      <c r="G16" s="2" t="str">
        <f ca="1">IFERROR(__xludf.DUMMYFUNCTION("""COMPUTED_VALUE"""),"Diana")</f>
        <v>Diana</v>
      </c>
      <c r="H16" s="2" t="str">
        <f ca="1">IFERROR(__xludf.DUMMYFUNCTION("""COMPUTED_VALUE"""),"Fiona")</f>
        <v>Fiona</v>
      </c>
      <c r="I16" s="2" t="str">
        <f ca="1">IFERROR(__xludf.DUMMYFUNCTION("""COMPUTED_VALUE"""),"Diana")</f>
        <v>Diana</v>
      </c>
      <c r="J16" s="2" t="str">
        <f ca="1">IFERROR(__xludf.DUMMYFUNCTION("""COMPUTED_VALUE"""),"Charlie")</f>
        <v>Charlie</v>
      </c>
      <c r="L16" s="2" t="str">
        <f ca="1">IFERROR(__xludf.DUMMYFUNCTION("""COMPUTED_VALUE"""),"Charlie")</f>
        <v>Charlie</v>
      </c>
      <c r="M16" s="2" t="str">
        <f ca="1">IFERROR(__xludf.DUMMYFUNCTION("""COMPUTED_VALUE"""),"Diana")</f>
        <v>Diana</v>
      </c>
      <c r="N16" s="2" t="str">
        <f ca="1">IFERROR(__xludf.DUMMYFUNCTION("""COMPUTED_VALUE"""),"Charlie")</f>
        <v>Charlie</v>
      </c>
    </row>
    <row r="17" spans="1:14" x14ac:dyDescent="0.25">
      <c r="A17" s="2">
        <v>3</v>
      </c>
      <c r="B17" s="2" t="s">
        <v>48</v>
      </c>
      <c r="F17" s="2" t="str">
        <f ca="1">IFERROR(__xludf.DUMMYFUNCTION("""COMPUTED_VALUE"""),"Fiona")</f>
        <v>Fiona</v>
      </c>
      <c r="G17" s="2" t="str">
        <f ca="1">IFERROR(__xludf.DUMMYFUNCTION("""COMPUTED_VALUE"""),"George")</f>
        <v>George</v>
      </c>
      <c r="H17" s="2" t="str">
        <f ca="1">IFERROR(__xludf.DUMMYFUNCTION("""COMPUTED_VALUE"""),"Jack")</f>
        <v>Jack</v>
      </c>
      <c r="I17" s="2" t="str">
        <f ca="1">IFERROR(__xludf.DUMMYFUNCTION("""COMPUTED_VALUE"""),"Fiona")</f>
        <v>Fiona</v>
      </c>
      <c r="J17" s="2" t="str">
        <f ca="1">IFERROR(__xludf.DUMMYFUNCTION("""COMPUTED_VALUE"""),"Ethan")</f>
        <v>Ethan</v>
      </c>
      <c r="L17" s="2" t="str">
        <f ca="1">IFERROR(__xludf.DUMMYFUNCTION("""COMPUTED_VALUE"""),"Diana")</f>
        <v>Diana</v>
      </c>
      <c r="M17" s="2" t="str">
        <f ca="1">IFERROR(__xludf.DUMMYFUNCTION("""COMPUTED_VALUE"""),"Ethan")</f>
        <v>Ethan</v>
      </c>
      <c r="N17" s="2" t="str">
        <f ca="1">IFERROR(__xludf.DUMMYFUNCTION("""COMPUTED_VALUE"""),"Diana")</f>
        <v>Diana</v>
      </c>
    </row>
    <row r="18" spans="1:14" x14ac:dyDescent="0.25">
      <c r="A18" s="2">
        <v>4</v>
      </c>
      <c r="B18" s="2" t="s">
        <v>49</v>
      </c>
      <c r="F18" s="2" t="str">
        <f ca="1">IFERROR(__xludf.DUMMYFUNCTION("""COMPUTED_VALUE"""),"Harry")</f>
        <v>Harry</v>
      </c>
      <c r="I18" s="2" t="str">
        <f ca="1">IFERROR(__xludf.DUMMYFUNCTION("""COMPUTED_VALUE"""),"Harry")</f>
        <v>Harry</v>
      </c>
      <c r="J18" s="2" t="str">
        <f ca="1">IFERROR(__xludf.DUMMYFUNCTION("""COMPUTED_VALUE"""),"George")</f>
        <v>George</v>
      </c>
      <c r="L18" s="2" t="str">
        <f ca="1">IFERROR(__xludf.DUMMYFUNCTION("""COMPUTED_VALUE"""),"Ethan")</f>
        <v>Ethan</v>
      </c>
      <c r="N18" s="2" t="str">
        <f ca="1">IFERROR(__xludf.DUMMYFUNCTION("""COMPUTED_VALUE"""),"Ethan")</f>
        <v>Ethan</v>
      </c>
    </row>
    <row r="19" spans="1:14" x14ac:dyDescent="0.25">
      <c r="A19" s="2">
        <v>5</v>
      </c>
      <c r="B19" s="2" t="s">
        <v>50</v>
      </c>
      <c r="F19" s="2" t="str">
        <f ca="1">IFERROR(__xludf.DUMMYFUNCTION("""COMPUTED_VALUE"""),"Jack")</f>
        <v>Jack</v>
      </c>
      <c r="I19" s="2" t="str">
        <f ca="1">IFERROR(__xludf.DUMMYFUNCTION("""COMPUTED_VALUE"""),"Jack")</f>
        <v>Jack</v>
      </c>
      <c r="J19" s="2" t="str">
        <f ca="1">IFERROR(__xludf.DUMMYFUNCTION("""COMPUTED_VALUE"""),"Harry")</f>
        <v>Harry</v>
      </c>
      <c r="L19" s="2" t="str">
        <f ca="1">IFERROR(__xludf.DUMMYFUNCTION("""COMPUTED_VALUE"""),"Fiona")</f>
        <v>Fiona</v>
      </c>
      <c r="N19" s="2" t="str">
        <f ca="1">IFERROR(__xludf.DUMMYFUNCTION("""COMPUTED_VALUE"""),"Fiona")</f>
        <v>Fiona</v>
      </c>
    </row>
    <row r="20" spans="1:14" x14ac:dyDescent="0.25">
      <c r="A20" s="2">
        <v>6</v>
      </c>
      <c r="B20" s="2" t="s">
        <v>51</v>
      </c>
      <c r="J20" s="2" t="str">
        <f ca="1">IFERROR(__xludf.DUMMYFUNCTION("""COMPUTED_VALUE"""),"Ivy")</f>
        <v>Ivy</v>
      </c>
      <c r="L20" s="2" t="str">
        <f ca="1">IFERROR(__xludf.DUMMYFUNCTION("""COMPUTED_VALUE"""),"Harry")</f>
        <v>Harry</v>
      </c>
      <c r="N20" s="2" t="str">
        <f ca="1">IFERROR(__xludf.DUMMYFUNCTION("""COMPUTED_VALUE"""),"George")</f>
        <v>George</v>
      </c>
    </row>
    <row r="21" spans="1:14" x14ac:dyDescent="0.25">
      <c r="A21" s="2">
        <v>7</v>
      </c>
      <c r="B21" s="2" t="s">
        <v>52</v>
      </c>
      <c r="J21" s="2" t="str">
        <f ca="1">IFERROR(__xludf.DUMMYFUNCTION("""COMPUTED_VALUE"""),"Jack")</f>
        <v>Jack</v>
      </c>
      <c r="L21" s="2" t="str">
        <f ca="1">IFERROR(__xludf.DUMMYFUNCTION("""COMPUTED_VALUE"""),"Jack")</f>
        <v>Jack</v>
      </c>
      <c r="N21" s="2" t="str">
        <f ca="1">IFERROR(__xludf.DUMMYFUNCTION("""COMPUTED_VALUE"""),"Ivy")</f>
        <v>Ivy</v>
      </c>
    </row>
    <row r="22" spans="1:14" x14ac:dyDescent="0.25">
      <c r="A22" s="2">
        <v>8</v>
      </c>
      <c r="B22" s="2" t="s">
        <v>53</v>
      </c>
      <c r="N22" s="2" t="str">
        <f ca="1">IFERROR(__xludf.DUMMYFUNCTION("""COMPUTED_VALUE"""),"Jack")</f>
        <v>Jack</v>
      </c>
    </row>
    <row r="23" spans="1:14" x14ac:dyDescent="0.25">
      <c r="A23" s="2">
        <v>9</v>
      </c>
      <c r="B23" s="2" t="s">
        <v>54</v>
      </c>
    </row>
    <row r="24" spans="1:14" x14ac:dyDescent="0.25">
      <c r="A24" s="2">
        <v>10</v>
      </c>
      <c r="B24" s="2" t="s">
        <v>55</v>
      </c>
    </row>
    <row r="27" spans="1:14" x14ac:dyDescent="0.25">
      <c r="A27" s="8" t="s">
        <v>56</v>
      </c>
      <c r="B27" s="9"/>
      <c r="C27" s="9"/>
      <c r="D27" s="9"/>
    </row>
    <row r="28" spans="1:14" x14ac:dyDescent="0.25">
      <c r="A28" s="2">
        <v>11</v>
      </c>
      <c r="B28" s="2" t="s">
        <v>57</v>
      </c>
      <c r="E28" s="2" t="s">
        <v>109</v>
      </c>
      <c r="F28" s="2" t="str">
        <f ca="1">IFERROR(__xludf.DUMMYFUNCTION("FILTER(B2:B11,(E2:E11=E2)*(G2:G11&gt;2))"),"Alice")</f>
        <v>Alice</v>
      </c>
      <c r="G28" s="2" t="str">
        <f ca="1">IFERROR(__xludf.DUMMYFUNCTION("filter(B2:B11,(C2:C11=""Sales"")+(C2:C11=""Marketing""))"),"Diana")</f>
        <v>Diana</v>
      </c>
    </row>
    <row r="29" spans="1:14" x14ac:dyDescent="0.25">
      <c r="A29" s="2">
        <v>12</v>
      </c>
      <c r="B29" s="2" t="s">
        <v>58</v>
      </c>
      <c r="F29" s="2" t="str">
        <f ca="1">IFERROR(__xludf.DUMMYFUNCTION("""COMPUTED_VALUE"""),"Diana")</f>
        <v>Diana</v>
      </c>
      <c r="G29" s="2" t="str">
        <f ca="1">IFERROR(__xludf.DUMMYFUNCTION("""COMPUTED_VALUE"""),"Ethan")</f>
        <v>Ethan</v>
      </c>
    </row>
    <row r="30" spans="1:14" x14ac:dyDescent="0.25">
      <c r="A30" s="2">
        <v>13</v>
      </c>
      <c r="B30" s="2" t="s">
        <v>59</v>
      </c>
      <c r="G30" s="2" t="str">
        <f ca="1">IFERROR(__xludf.DUMMYFUNCTION("""COMPUTED_VALUE"""),"George")</f>
        <v>George</v>
      </c>
    </row>
    <row r="31" spans="1:14" x14ac:dyDescent="0.25">
      <c r="A31" s="2">
        <v>14</v>
      </c>
      <c r="B31" s="2" t="s">
        <v>60</v>
      </c>
      <c r="G31" s="2" t="str">
        <f ca="1">IFERROR(__xludf.DUMMYFUNCTION("""COMPUTED_VALUE"""),"Jack")</f>
        <v>Jack</v>
      </c>
    </row>
    <row r="32" spans="1:14" x14ac:dyDescent="0.25">
      <c r="A32" s="2">
        <v>15</v>
      </c>
      <c r="B32" s="2" t="s">
        <v>61</v>
      </c>
    </row>
    <row r="33" spans="1:13" x14ac:dyDescent="0.25">
      <c r="A33" s="2">
        <v>16</v>
      </c>
      <c r="B33" s="2" t="s">
        <v>62</v>
      </c>
    </row>
    <row r="34" spans="1:13" x14ac:dyDescent="0.25">
      <c r="A34" s="2">
        <v>17</v>
      </c>
      <c r="B34" s="2" t="s">
        <v>63</v>
      </c>
    </row>
    <row r="35" spans="1:13" x14ac:dyDescent="0.25">
      <c r="A35" s="2">
        <v>18</v>
      </c>
      <c r="B35" s="2" t="s">
        <v>64</v>
      </c>
    </row>
    <row r="36" spans="1:13" x14ac:dyDescent="0.25">
      <c r="A36" s="2">
        <v>19</v>
      </c>
      <c r="B36" s="2" t="s">
        <v>65</v>
      </c>
      <c r="E36" s="2" t="str">
        <f ca="1">IFERROR(__xludf.DUMMYFUNCTION("filter(B2:B11,(isnumber(SEARCH(""a"",B2:B11)) * (D2:D11&gt;55000)))"),"Charlie")</f>
        <v>Charlie</v>
      </c>
    </row>
    <row r="37" spans="1:13" x14ac:dyDescent="0.25">
      <c r="A37" s="2">
        <v>20</v>
      </c>
      <c r="B37" s="2" t="s">
        <v>66</v>
      </c>
      <c r="E37" s="2" t="str">
        <f ca="1">IFERROR(__xludf.DUMMYFUNCTION("""COMPUTED_VALUE"""),"Ethan")</f>
        <v>Ethan</v>
      </c>
      <c r="F37" s="2">
        <f ca="1">IFERROR(__xludf.DUMMYFUNCTION("FILTER(A2:H11,(F2:F11&lt;DATE(2020,1,1))*(H2:H11=5))"),106)</f>
        <v>106</v>
      </c>
      <c r="G37" s="2" t="str">
        <f ca="1">IFERROR(__xludf.DUMMYFUNCTION("""COMPUTED_VALUE"""),"Fiona")</f>
        <v>Fiona</v>
      </c>
      <c r="H37" s="2" t="str">
        <f ca="1">IFERROR(__xludf.DUMMYFUNCTION("""COMPUTED_VALUE"""),"IT")</f>
        <v>IT</v>
      </c>
      <c r="I37" s="5">
        <f ca="1">IFERROR(__xludf.DUMMYFUNCTION("""COMPUTED_VALUE"""),80000)</f>
        <v>80000</v>
      </c>
      <c r="J37" s="2" t="str">
        <f ca="1">IFERROR(__xludf.DUMMYFUNCTION("""COMPUTED_VALUE"""),"Hyderabad")</f>
        <v>Hyderabad</v>
      </c>
      <c r="K37" s="6">
        <f ca="1">IFERROR(__xludf.DUMMYFUNCTION("""COMPUTED_VALUE"""),43081)</f>
        <v>43081</v>
      </c>
      <c r="L37" s="2">
        <f ca="1">IFERROR(__xludf.DUMMYFUNCTION("""COMPUTED_VALUE"""),7)</f>
        <v>7</v>
      </c>
      <c r="M37" s="2">
        <f ca="1">IFERROR(__xludf.DUMMYFUNCTION("""COMPUTED_VALUE"""),5)</f>
        <v>5</v>
      </c>
    </row>
    <row r="38" spans="1:13" x14ac:dyDescent="0.25">
      <c r="E38" s="2" t="str">
        <f ca="1">IFERROR(__xludf.DUMMYFUNCTION("""COMPUTED_VALUE"""),"Fiona")</f>
        <v>Fiona</v>
      </c>
    </row>
    <row r="39" spans="1:13" x14ac:dyDescent="0.25">
      <c r="E39" s="2" t="str">
        <f ca="1">IFERROR(__xludf.DUMMYFUNCTION("""COMPUTED_VALUE"""),"Harry")</f>
        <v>Harry</v>
      </c>
    </row>
    <row r="40" spans="1:13" x14ac:dyDescent="0.25">
      <c r="E40" s="2" t="str">
        <f ca="1">IFERROR(__xludf.DUMMYFUNCTION("""COMPUTED_VALUE"""),"Jack")</f>
        <v>Jack</v>
      </c>
    </row>
    <row r="43" spans="1:13" x14ac:dyDescent="0.25">
      <c r="A43" s="2" t="s">
        <v>67</v>
      </c>
    </row>
    <row r="44" spans="1:13" x14ac:dyDescent="0.25">
      <c r="A44" s="2">
        <v>21</v>
      </c>
      <c r="B44" s="2" t="s">
        <v>68</v>
      </c>
      <c r="F44" s="2" t="s">
        <v>109</v>
      </c>
    </row>
    <row r="45" spans="1:13" x14ac:dyDescent="0.25">
      <c r="A45" s="2">
        <v>22</v>
      </c>
      <c r="B45" s="2" t="s">
        <v>69</v>
      </c>
      <c r="F45" s="2" t="s">
        <v>109</v>
      </c>
    </row>
    <row r="46" spans="1:13" x14ac:dyDescent="0.25">
      <c r="A46" s="7">
        <v>23</v>
      </c>
      <c r="B46" s="7" t="s">
        <v>70</v>
      </c>
      <c r="C46" s="7"/>
      <c r="D46" s="7"/>
      <c r="F46" s="2" t="e">
        <f ca="1">query(A2:H11,"select C, max(D) group by C",1)</f>
        <v>#NAME?</v>
      </c>
    </row>
    <row r="47" spans="1:13" x14ac:dyDescent="0.25">
      <c r="A47" s="2">
        <v>24</v>
      </c>
      <c r="B47" s="2" t="s">
        <v>71</v>
      </c>
      <c r="F47" s="2" t="str">
        <f ca="1">IFERROR(__xludf.DUMMYFUNCTION("FILTER(A2:H11,countif(D2:D11)&gt;1)"),"#N/A")</f>
        <v>#N/A</v>
      </c>
    </row>
    <row r="48" spans="1:13" x14ac:dyDescent="0.25">
      <c r="A48" s="2">
        <v>25</v>
      </c>
      <c r="B48" s="2" t="s">
        <v>72</v>
      </c>
      <c r="F48" s="2" t="s">
        <v>109</v>
      </c>
    </row>
    <row r="49" spans="1:8" x14ac:dyDescent="0.25">
      <c r="A49" s="2">
        <v>26</v>
      </c>
      <c r="B49" s="2" t="s">
        <v>73</v>
      </c>
    </row>
    <row r="50" spans="1:8" x14ac:dyDescent="0.25">
      <c r="A50" s="2">
        <v>27</v>
      </c>
      <c r="B50" s="2" t="s">
        <v>74</v>
      </c>
      <c r="F50" s="2" t="s">
        <v>109</v>
      </c>
    </row>
    <row r="51" spans="1:8" x14ac:dyDescent="0.25">
      <c r="A51" s="2">
        <v>28</v>
      </c>
      <c r="B51" s="2" t="s">
        <v>75</v>
      </c>
    </row>
    <row r="52" spans="1:8" x14ac:dyDescent="0.25">
      <c r="A52" s="7">
        <v>29</v>
      </c>
      <c r="B52" s="7" t="s">
        <v>76</v>
      </c>
      <c r="C52" s="7"/>
      <c r="D52" s="7"/>
      <c r="F52" s="2" t="s">
        <v>109</v>
      </c>
      <c r="G52" s="2" t="str">
        <f ca="1">IFERROR(__xludf.DUMMYFUNCTION("FILTER(A2:H11,F2:F11&gt;EDATE(TODAY()-36))"),"#N/A")</f>
        <v>#N/A</v>
      </c>
    </row>
    <row r="53" spans="1:8" x14ac:dyDescent="0.25">
      <c r="A53" s="2">
        <v>30</v>
      </c>
      <c r="B53" s="2" t="s">
        <v>77</v>
      </c>
      <c r="F53" s="2" t="s">
        <v>109</v>
      </c>
    </row>
    <row r="55" spans="1:8" x14ac:dyDescent="0.25">
      <c r="A55" s="2" t="s">
        <v>78</v>
      </c>
    </row>
    <row r="56" spans="1:8" x14ac:dyDescent="0.25">
      <c r="A56" s="2">
        <v>30</v>
      </c>
      <c r="B56" s="2" t="s">
        <v>79</v>
      </c>
      <c r="G56" s="2" t="s">
        <v>109</v>
      </c>
    </row>
    <row r="57" spans="1:8" x14ac:dyDescent="0.25">
      <c r="A57" s="2">
        <v>31</v>
      </c>
      <c r="B57" s="2" t="s">
        <v>80</v>
      </c>
      <c r="F57" s="2" t="s">
        <v>109</v>
      </c>
      <c r="G57" s="2" t="s">
        <v>109</v>
      </c>
    </row>
    <row r="58" spans="1:8" x14ac:dyDescent="0.25">
      <c r="A58" s="2">
        <v>32</v>
      </c>
      <c r="B58" s="2" t="s">
        <v>81</v>
      </c>
      <c r="G58" s="2" t="s">
        <v>109</v>
      </c>
    </row>
    <row r="59" spans="1:8" x14ac:dyDescent="0.25">
      <c r="A59" s="2">
        <v>33</v>
      </c>
      <c r="B59" s="2" t="s">
        <v>82</v>
      </c>
      <c r="G59" s="2" t="e">
        <f ca="1">query(A2:H11, "select * order by H desc limit 5",0)</f>
        <v>#NAME?</v>
      </c>
    </row>
    <row r="60" spans="1:8" x14ac:dyDescent="0.25">
      <c r="A60" s="2">
        <v>34</v>
      </c>
      <c r="B60" s="2" t="s">
        <v>83</v>
      </c>
      <c r="G60" s="2" t="s">
        <v>109</v>
      </c>
    </row>
    <row r="61" spans="1:8" x14ac:dyDescent="0.25">
      <c r="A61" s="2">
        <v>35</v>
      </c>
      <c r="B61" s="2" t="s">
        <v>84</v>
      </c>
      <c r="G61" s="2" t="s">
        <v>109</v>
      </c>
    </row>
    <row r="62" spans="1:8" x14ac:dyDescent="0.25">
      <c r="A62" s="2">
        <v>36</v>
      </c>
      <c r="B62" s="2" t="s">
        <v>85</v>
      </c>
      <c r="G62" s="2" t="s">
        <v>109</v>
      </c>
    </row>
    <row r="63" spans="1:8" x14ac:dyDescent="0.25">
      <c r="A63" s="2">
        <v>37</v>
      </c>
      <c r="B63" s="2" t="s">
        <v>86</v>
      </c>
      <c r="G63" s="2" t="s">
        <v>109</v>
      </c>
    </row>
    <row r="64" spans="1:8" x14ac:dyDescent="0.25">
      <c r="A64" s="2">
        <v>38</v>
      </c>
      <c r="B64" s="2" t="s">
        <v>87</v>
      </c>
      <c r="G64" s="2" t="str">
        <f ca="1">IFERROR(__xludf.DUMMYFUNCTION("filter(A2:H11,G3:G11&gt;G2:G11)"),"#REF!")</f>
        <v>#REF!</v>
      </c>
      <c r="H64" s="2" t="s">
        <v>109</v>
      </c>
    </row>
    <row r="65" spans="1:14" x14ac:dyDescent="0.25">
      <c r="A65" s="2">
        <v>39</v>
      </c>
      <c r="B65" s="2" t="s">
        <v>88</v>
      </c>
      <c r="G65" s="2" t="s">
        <v>109</v>
      </c>
    </row>
    <row r="68" spans="1:14" x14ac:dyDescent="0.25">
      <c r="A68" s="2" t="s">
        <v>89</v>
      </c>
    </row>
    <row r="69" spans="1:14" x14ac:dyDescent="0.25">
      <c r="A69" s="2">
        <v>41</v>
      </c>
      <c r="B69" s="2" t="s">
        <v>90</v>
      </c>
      <c r="G69" s="2">
        <f ca="1">IFERROR(__xludf.DUMMYFUNCTION("filter(A2:H11,C2:C11=J1)"),103)</f>
        <v>103</v>
      </c>
      <c r="H69" s="2" t="str">
        <f ca="1">IFERROR(__xludf.DUMMYFUNCTION("""COMPUTED_VALUE"""),"Charlie")</f>
        <v>Charlie</v>
      </c>
      <c r="I69" s="2" t="str">
        <f ca="1">IFERROR(__xludf.DUMMYFUNCTION("""COMPUTED_VALUE"""),"IT")</f>
        <v>IT</v>
      </c>
      <c r="J69" s="5">
        <f ca="1">IFERROR(__xludf.DUMMYFUNCTION("""COMPUTED_VALUE"""),70000)</f>
        <v>70000</v>
      </c>
      <c r="K69" s="2" t="str">
        <f ca="1">IFERROR(__xludf.DUMMYFUNCTION("""COMPUTED_VALUE"""),"Bangalore")</f>
        <v>Bangalore</v>
      </c>
      <c r="L69" s="6" t="str">
        <f ca="1">IFERROR(__xludf.DUMMYFUNCTION("""COMPUTED_VALUE"""),"20/07/2021")</f>
        <v>20/07/2021</v>
      </c>
      <c r="M69" s="2">
        <f ca="1">IFERROR(__xludf.DUMMYFUNCTION("""COMPUTED_VALUE"""),2)</f>
        <v>2</v>
      </c>
      <c r="N69" s="2">
        <f ca="1">IFERROR(__xludf.DUMMYFUNCTION("""COMPUTED_VALUE"""),3)</f>
        <v>3</v>
      </c>
    </row>
    <row r="70" spans="1:14" x14ac:dyDescent="0.25">
      <c r="A70" s="2">
        <v>42</v>
      </c>
      <c r="B70" s="2" t="s">
        <v>91</v>
      </c>
      <c r="G70" s="2">
        <f ca="1">IFERROR(__xludf.DUMMYFUNCTION("""COMPUTED_VALUE"""),106)</f>
        <v>106</v>
      </c>
      <c r="H70" s="2" t="str">
        <f ca="1">IFERROR(__xludf.DUMMYFUNCTION("""COMPUTED_VALUE"""),"Fiona")</f>
        <v>Fiona</v>
      </c>
      <c r="I70" s="2" t="str">
        <f ca="1">IFERROR(__xludf.DUMMYFUNCTION("""COMPUTED_VALUE"""),"IT")</f>
        <v>IT</v>
      </c>
      <c r="J70" s="5">
        <f ca="1">IFERROR(__xludf.DUMMYFUNCTION("""COMPUTED_VALUE"""),80000)</f>
        <v>80000</v>
      </c>
      <c r="K70" s="2" t="str">
        <f ca="1">IFERROR(__xludf.DUMMYFUNCTION("""COMPUTED_VALUE"""),"Hyderabad")</f>
        <v>Hyderabad</v>
      </c>
      <c r="L70" s="6">
        <f ca="1">IFERROR(__xludf.DUMMYFUNCTION("""COMPUTED_VALUE"""),43081)</f>
        <v>43081</v>
      </c>
      <c r="M70" s="2">
        <f ca="1">IFERROR(__xludf.DUMMYFUNCTION("""COMPUTED_VALUE"""),7)</f>
        <v>7</v>
      </c>
      <c r="N70" s="2">
        <f ca="1">IFERROR(__xludf.DUMMYFUNCTION("""COMPUTED_VALUE"""),5)</f>
        <v>5</v>
      </c>
    </row>
    <row r="71" spans="1:14" x14ac:dyDescent="0.25">
      <c r="B71" s="2" t="s">
        <v>92</v>
      </c>
    </row>
    <row r="72" spans="1:14" x14ac:dyDescent="0.25">
      <c r="B72" s="2" t="s">
        <v>93</v>
      </c>
    </row>
    <row r="73" spans="1:14" x14ac:dyDescent="0.25">
      <c r="A73" s="2">
        <v>45</v>
      </c>
      <c r="B73" s="2" t="s">
        <v>94</v>
      </c>
    </row>
    <row r="74" spans="1:14" x14ac:dyDescent="0.25">
      <c r="A74" s="2">
        <v>46</v>
      </c>
      <c r="B74" s="2" t="s">
        <v>95</v>
      </c>
    </row>
    <row r="75" spans="1:14" x14ac:dyDescent="0.25">
      <c r="A75" s="2">
        <v>47</v>
      </c>
      <c r="B75" s="2" t="s">
        <v>96</v>
      </c>
    </row>
    <row r="76" spans="1:14" x14ac:dyDescent="0.25">
      <c r="A76" s="2">
        <v>48</v>
      </c>
      <c r="B76" s="2" t="s">
        <v>97</v>
      </c>
    </row>
    <row r="77" spans="1:14" x14ac:dyDescent="0.25">
      <c r="A77" s="2">
        <v>49</v>
      </c>
      <c r="B77" s="2" t="s">
        <v>98</v>
      </c>
    </row>
    <row r="78" spans="1:14" x14ac:dyDescent="0.25">
      <c r="A78" s="2">
        <v>50</v>
      </c>
      <c r="B78" s="2" t="s">
        <v>99</v>
      </c>
    </row>
    <row r="79" spans="1:14" x14ac:dyDescent="0.25">
      <c r="A79" s="2">
        <v>51</v>
      </c>
      <c r="B79" s="2" t="s">
        <v>100</v>
      </c>
    </row>
    <row r="80" spans="1:14" x14ac:dyDescent="0.25">
      <c r="A80" s="2">
        <v>52</v>
      </c>
      <c r="B80" s="2" t="s">
        <v>101</v>
      </c>
    </row>
    <row r="81" spans="1:2" x14ac:dyDescent="0.25">
      <c r="A81" s="2"/>
      <c r="B81" s="2" t="s">
        <v>102</v>
      </c>
    </row>
    <row r="82" spans="1:2" x14ac:dyDescent="0.25">
      <c r="A82" s="2">
        <v>54</v>
      </c>
      <c r="B82" s="2" t="s">
        <v>103</v>
      </c>
    </row>
  </sheetData>
  <mergeCells count="2">
    <mergeCell ref="A14:C14"/>
    <mergeCell ref="A27:D27"/>
  </mergeCells>
  <dataValidations count="2">
    <dataValidation type="list" allowBlank="1" showErrorMessage="1" sqref="J1:J3" xr:uid="{00000000-0002-0000-0000-000000000000}">
      <formula1>$C$2:$C$11</formula1>
    </dataValidation>
    <dataValidation type="list" allowBlank="1" showErrorMessage="1" sqref="E2:E11" xr:uid="{00000000-0002-0000-0000-000002000000}">
      <formula1>"Bangalore,Delhi,Hyderabad,Kolkata,Mumbai,Pune"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3E9A-EC23-4D2C-82C5-7417BC736C6D}">
  <dimension ref="A1:N82"/>
  <sheetViews>
    <sheetView tabSelected="1" workbookViewId="0">
      <pane ySplit="1" topLeftCell="A2" activePane="bottomLeft" state="frozen"/>
      <selection pane="bottomLeft" activeCell="N15" sqref="N15"/>
    </sheetView>
  </sheetViews>
  <sheetFormatPr defaultRowHeight="13.2" x14ac:dyDescent="0.25"/>
  <cols>
    <col min="1" max="1" width="11.44140625" bestFit="1" customWidth="1"/>
    <col min="2" max="2" width="7" bestFit="1" customWidth="1"/>
    <col min="3" max="3" width="10.33203125" bestFit="1" customWidth="1"/>
    <col min="4" max="4" width="9.109375" bestFit="1" customWidth="1"/>
    <col min="5" max="5" width="9.88671875" bestFit="1" customWidth="1"/>
    <col min="6" max="6" width="11.21875" bestFit="1" customWidth="1"/>
    <col min="7" max="7" width="16.88671875" bestFit="1" customWidth="1"/>
    <col min="8" max="8" width="17.44140625" bestFit="1" customWidth="1"/>
  </cols>
  <sheetData>
    <row r="1" spans="1:14" ht="18.600000000000001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14" x14ac:dyDescent="0.25">
      <c r="A2" s="1">
        <v>101</v>
      </c>
      <c r="B2" s="1" t="s">
        <v>9</v>
      </c>
      <c r="C2" s="1" t="s">
        <v>10</v>
      </c>
      <c r="D2" s="3">
        <v>50000</v>
      </c>
      <c r="E2" s="1" t="s">
        <v>11</v>
      </c>
      <c r="F2" s="4">
        <v>43831</v>
      </c>
      <c r="G2" s="1">
        <v>3</v>
      </c>
      <c r="H2" s="1">
        <v>4</v>
      </c>
    </row>
    <row r="3" spans="1:14" x14ac:dyDescent="0.25">
      <c r="A3" s="1">
        <v>102</v>
      </c>
      <c r="B3" s="1" t="s">
        <v>13</v>
      </c>
      <c r="C3" s="1" t="s">
        <v>14</v>
      </c>
      <c r="D3" s="3">
        <v>50000</v>
      </c>
      <c r="E3" s="1" t="s">
        <v>15</v>
      </c>
      <c r="F3" s="4">
        <v>43539</v>
      </c>
      <c r="G3" s="1">
        <v>5</v>
      </c>
      <c r="H3" s="1">
        <v>5</v>
      </c>
    </row>
    <row r="4" spans="1:14" x14ac:dyDescent="0.25">
      <c r="A4" s="1">
        <v>103</v>
      </c>
      <c r="B4" s="1" t="s">
        <v>17</v>
      </c>
      <c r="C4" s="1" t="s">
        <v>8</v>
      </c>
      <c r="D4" s="3">
        <v>70000</v>
      </c>
      <c r="E4" s="1" t="s">
        <v>18</v>
      </c>
      <c r="F4" s="4">
        <v>44397</v>
      </c>
      <c r="G4" s="1">
        <v>2</v>
      </c>
      <c r="H4" s="1">
        <v>3</v>
      </c>
    </row>
    <row r="5" spans="1:14" x14ac:dyDescent="0.25">
      <c r="A5" s="1">
        <v>104</v>
      </c>
      <c r="B5" s="1" t="s">
        <v>20</v>
      </c>
      <c r="C5" s="1" t="s">
        <v>21</v>
      </c>
      <c r="D5" s="3">
        <v>55000</v>
      </c>
      <c r="E5" s="1" t="s">
        <v>11</v>
      </c>
      <c r="F5" s="4">
        <v>43383</v>
      </c>
      <c r="G5" s="1">
        <v>6</v>
      </c>
      <c r="H5" s="1">
        <v>4</v>
      </c>
    </row>
    <row r="6" spans="1:14" x14ac:dyDescent="0.25">
      <c r="A6" s="1">
        <v>105</v>
      </c>
      <c r="B6" s="1" t="s">
        <v>22</v>
      </c>
      <c r="C6" s="1" t="s">
        <v>12</v>
      </c>
      <c r="D6" s="3">
        <v>65000</v>
      </c>
      <c r="E6" s="1" t="s">
        <v>23</v>
      </c>
      <c r="F6" s="4">
        <v>44686</v>
      </c>
      <c r="G6" s="1">
        <v>1</v>
      </c>
      <c r="H6" s="1">
        <v>2</v>
      </c>
    </row>
    <row r="7" spans="1:14" x14ac:dyDescent="0.25">
      <c r="A7" s="1">
        <v>106</v>
      </c>
      <c r="B7" s="1" t="s">
        <v>24</v>
      </c>
      <c r="C7" s="1" t="s">
        <v>8</v>
      </c>
      <c r="D7" s="3">
        <v>80000</v>
      </c>
      <c r="E7" s="1" t="s">
        <v>25</v>
      </c>
      <c r="F7" s="4">
        <v>43081</v>
      </c>
      <c r="G7" s="1">
        <v>7</v>
      </c>
      <c r="H7" s="1">
        <v>5</v>
      </c>
    </row>
    <row r="8" spans="1:14" x14ac:dyDescent="0.25">
      <c r="A8" s="1">
        <v>107</v>
      </c>
      <c r="B8" s="1" t="s">
        <v>26</v>
      </c>
      <c r="C8" s="1" t="s">
        <v>12</v>
      </c>
      <c r="D8" s="3">
        <v>45000</v>
      </c>
      <c r="E8" s="1" t="s">
        <v>11</v>
      </c>
      <c r="F8" s="4">
        <v>45160</v>
      </c>
      <c r="G8" s="1">
        <v>0</v>
      </c>
      <c r="H8" s="1">
        <v>3</v>
      </c>
    </row>
    <row r="9" spans="1:14" x14ac:dyDescent="0.25">
      <c r="A9" s="1">
        <v>108</v>
      </c>
      <c r="B9" s="1" t="s">
        <v>28</v>
      </c>
      <c r="C9" s="1" t="s">
        <v>14</v>
      </c>
      <c r="D9" s="3">
        <v>72000</v>
      </c>
      <c r="E9" s="1" t="s">
        <v>15</v>
      </c>
      <c r="F9" s="4">
        <v>43879</v>
      </c>
      <c r="G9" s="1">
        <v>4</v>
      </c>
      <c r="H9" s="1">
        <v>4</v>
      </c>
    </row>
    <row r="10" spans="1:14" x14ac:dyDescent="0.25">
      <c r="A10" s="1">
        <v>109</v>
      </c>
      <c r="B10" s="1" t="s">
        <v>30</v>
      </c>
      <c r="C10" s="1" t="s">
        <v>10</v>
      </c>
      <c r="D10" s="3">
        <v>48000</v>
      </c>
      <c r="E10" s="1" t="s">
        <v>31</v>
      </c>
      <c r="F10" s="4">
        <v>44469</v>
      </c>
      <c r="G10" s="1">
        <v>2</v>
      </c>
      <c r="H10" s="1">
        <v>3</v>
      </c>
    </row>
    <row r="11" spans="1:14" x14ac:dyDescent="0.25">
      <c r="A11" s="1">
        <v>110</v>
      </c>
      <c r="B11" s="1" t="s">
        <v>33</v>
      </c>
      <c r="C11" s="1" t="s">
        <v>21</v>
      </c>
      <c r="D11" s="3">
        <v>90000</v>
      </c>
      <c r="E11" s="1" t="s">
        <v>18</v>
      </c>
      <c r="F11" s="4">
        <v>42729</v>
      </c>
      <c r="G11" s="1">
        <v>8</v>
      </c>
      <c r="H11" s="1">
        <v>5</v>
      </c>
    </row>
    <row r="14" spans="1:14" x14ac:dyDescent="0.25">
      <c r="A14" s="8" t="s">
        <v>35</v>
      </c>
      <c r="B14" s="9"/>
      <c r="C14" s="9"/>
      <c r="G14" s="11" t="s">
        <v>110</v>
      </c>
      <c r="H14" s="11" t="s">
        <v>111</v>
      </c>
      <c r="J14" s="11" t="s">
        <v>112</v>
      </c>
      <c r="K14" s="11" t="s">
        <v>113</v>
      </c>
      <c r="L14" s="11" t="s">
        <v>114</v>
      </c>
      <c r="M14" s="11" t="s">
        <v>42</v>
      </c>
      <c r="N14" s="11" t="s">
        <v>43</v>
      </c>
    </row>
    <row r="15" spans="1:14" x14ac:dyDescent="0.25">
      <c r="A15" s="2">
        <v>1</v>
      </c>
      <c r="B15" s="2" t="s">
        <v>46</v>
      </c>
      <c r="G15" t="str" cm="1">
        <f t="array" ref="G15:G16">_xlfn._xlws.FILTER(B2:B11,C2:C11=C4)</f>
        <v>Charlie</v>
      </c>
      <c r="H15" t="str" cm="1">
        <f t="array" ref="H15:I19">_xlfn._xlws.FILTER(CHOOSE({1,2},B2:B11,D2:D11),D2:D11&gt;60000)</f>
        <v>Charlie</v>
      </c>
      <c r="I15">
        <v>70000</v>
      </c>
      <c r="J15" t="str" cm="1">
        <f t="array" ref="J15:J17">_xlfn._xlws.FILTER(B2:B11,E2:E11=E2)</f>
        <v>Alice</v>
      </c>
      <c r="K15" t="str" cm="1">
        <f t="array" ref="K15:K17">_xlfn._xlws.FILTER(B2:B11,H2:H11=5)</f>
        <v>Bob</v>
      </c>
      <c r="L15" t="str" cm="1">
        <f t="array" ref="L15:L19">_xlfn._xlws.FILTER(B2:B11,F2:F11&gt;DATE(2020,1,1))</f>
        <v>Charlie</v>
      </c>
      <c r="M15" t="str" cm="1">
        <f t="array" ref="M15">_xlfn._xlws.FILTER(B2:B11, LEFT(B2:B11,1)="A")</f>
        <v>Alice</v>
      </c>
    </row>
    <row r="16" spans="1:14" x14ac:dyDescent="0.25">
      <c r="A16" s="2">
        <v>2</v>
      </c>
      <c r="B16" s="2" t="s">
        <v>47</v>
      </c>
      <c r="G16" t="str">
        <v>Fiona</v>
      </c>
      <c r="H16" t="str">
        <v>Ethan</v>
      </c>
      <c r="I16">
        <v>65000</v>
      </c>
      <c r="J16" t="str">
        <v>Diana</v>
      </c>
      <c r="K16" t="str">
        <v>Fiona</v>
      </c>
      <c r="L16" t="str">
        <v>Ethan</v>
      </c>
    </row>
    <row r="17" spans="1:12" x14ac:dyDescent="0.25">
      <c r="A17" s="2">
        <v>3</v>
      </c>
      <c r="B17" s="2" t="s">
        <v>48</v>
      </c>
      <c r="H17" t="str">
        <v>Fiona</v>
      </c>
      <c r="I17">
        <v>80000</v>
      </c>
      <c r="J17" t="str">
        <v>George</v>
      </c>
      <c r="K17" t="str">
        <v>Jack</v>
      </c>
      <c r="L17" t="str">
        <v>George</v>
      </c>
    </row>
    <row r="18" spans="1:12" x14ac:dyDescent="0.25">
      <c r="A18" s="2">
        <v>4</v>
      </c>
      <c r="B18" s="2" t="s">
        <v>49</v>
      </c>
      <c r="H18" t="str">
        <v>Harry</v>
      </c>
      <c r="I18">
        <v>72000</v>
      </c>
      <c r="L18" t="str">
        <v>Harry</v>
      </c>
    </row>
    <row r="19" spans="1:12" x14ac:dyDescent="0.25">
      <c r="A19" s="2">
        <v>5</v>
      </c>
      <c r="B19" s="2" t="s">
        <v>50</v>
      </c>
      <c r="H19" t="str">
        <v>Jack</v>
      </c>
      <c r="I19">
        <v>90000</v>
      </c>
      <c r="L19" t="str">
        <v>Ivy</v>
      </c>
    </row>
    <row r="20" spans="1:12" x14ac:dyDescent="0.25">
      <c r="A20" s="2">
        <v>6</v>
      </c>
      <c r="B20" s="2" t="s">
        <v>51</v>
      </c>
    </row>
    <row r="21" spans="1:12" x14ac:dyDescent="0.25">
      <c r="A21" s="2">
        <v>7</v>
      </c>
      <c r="B21" s="2" t="s">
        <v>52</v>
      </c>
    </row>
    <row r="22" spans="1:12" x14ac:dyDescent="0.25">
      <c r="A22" s="2">
        <v>8</v>
      </c>
      <c r="B22" s="2" t="s">
        <v>53</v>
      </c>
    </row>
    <row r="23" spans="1:12" x14ac:dyDescent="0.25">
      <c r="A23" s="2">
        <v>9</v>
      </c>
      <c r="B23" s="2" t="s">
        <v>54</v>
      </c>
    </row>
    <row r="24" spans="1:12" x14ac:dyDescent="0.25">
      <c r="A24" s="2">
        <v>10</v>
      </c>
      <c r="B24" s="2" t="s">
        <v>55</v>
      </c>
    </row>
    <row r="27" spans="1:12" x14ac:dyDescent="0.25">
      <c r="A27" s="8" t="s">
        <v>56</v>
      </c>
      <c r="B27" s="9"/>
      <c r="C27" s="9"/>
      <c r="D27" s="9"/>
    </row>
    <row r="28" spans="1:12" x14ac:dyDescent="0.25">
      <c r="A28" s="2">
        <v>11</v>
      </c>
      <c r="B28" s="2" t="s">
        <v>57</v>
      </c>
    </row>
    <row r="29" spans="1:12" x14ac:dyDescent="0.25">
      <c r="A29" s="2">
        <v>12</v>
      </c>
      <c r="B29" s="2" t="s">
        <v>58</v>
      </c>
    </row>
    <row r="30" spans="1:12" x14ac:dyDescent="0.25">
      <c r="A30" s="2">
        <v>13</v>
      </c>
      <c r="B30" s="2" t="s">
        <v>59</v>
      </c>
    </row>
    <row r="31" spans="1:12" x14ac:dyDescent="0.25">
      <c r="A31" s="2">
        <v>14</v>
      </c>
      <c r="B31" s="2" t="s">
        <v>60</v>
      </c>
    </row>
    <row r="32" spans="1:12" x14ac:dyDescent="0.25">
      <c r="A32" s="2">
        <v>15</v>
      </c>
      <c r="B32" s="2" t="s">
        <v>61</v>
      </c>
    </row>
    <row r="33" spans="1:4" x14ac:dyDescent="0.25">
      <c r="A33" s="2">
        <v>16</v>
      </c>
      <c r="B33" s="2" t="s">
        <v>62</v>
      </c>
    </row>
    <row r="34" spans="1:4" x14ac:dyDescent="0.25">
      <c r="A34" s="2">
        <v>17</v>
      </c>
      <c r="B34" s="2" t="s">
        <v>63</v>
      </c>
    </row>
    <row r="35" spans="1:4" x14ac:dyDescent="0.25">
      <c r="A35" s="2">
        <v>18</v>
      </c>
      <c r="B35" s="2" t="s">
        <v>64</v>
      </c>
    </row>
    <row r="36" spans="1:4" x14ac:dyDescent="0.25">
      <c r="A36" s="2">
        <v>19</v>
      </c>
      <c r="B36" s="2" t="s">
        <v>65</v>
      </c>
    </row>
    <row r="37" spans="1:4" x14ac:dyDescent="0.25">
      <c r="A37" s="2">
        <v>20</v>
      </c>
      <c r="B37" s="2" t="s">
        <v>66</v>
      </c>
    </row>
    <row r="43" spans="1:4" x14ac:dyDescent="0.25">
      <c r="A43" s="2" t="s">
        <v>67</v>
      </c>
    </row>
    <row r="44" spans="1:4" x14ac:dyDescent="0.25">
      <c r="A44" s="2">
        <v>21</v>
      </c>
      <c r="B44" s="2" t="s">
        <v>68</v>
      </c>
    </row>
    <row r="45" spans="1:4" x14ac:dyDescent="0.25">
      <c r="A45" s="2">
        <v>22</v>
      </c>
      <c r="B45" s="2" t="s">
        <v>69</v>
      </c>
    </row>
    <row r="46" spans="1:4" x14ac:dyDescent="0.25">
      <c r="A46" s="7">
        <v>23</v>
      </c>
      <c r="B46" s="7" t="s">
        <v>70</v>
      </c>
      <c r="C46" s="7"/>
      <c r="D46" s="7"/>
    </row>
    <row r="47" spans="1:4" x14ac:dyDescent="0.25">
      <c r="A47" s="2">
        <v>24</v>
      </c>
      <c r="B47" s="2" t="s">
        <v>71</v>
      </c>
    </row>
    <row r="48" spans="1:4" x14ac:dyDescent="0.25">
      <c r="A48" s="2">
        <v>25</v>
      </c>
      <c r="B48" s="2" t="s">
        <v>72</v>
      </c>
    </row>
    <row r="49" spans="1:4" x14ac:dyDescent="0.25">
      <c r="A49" s="2">
        <v>26</v>
      </c>
      <c r="B49" s="2" t="s">
        <v>73</v>
      </c>
    </row>
    <row r="50" spans="1:4" x14ac:dyDescent="0.25">
      <c r="A50" s="2">
        <v>27</v>
      </c>
      <c r="B50" s="2" t="s">
        <v>74</v>
      </c>
    </row>
    <row r="51" spans="1:4" x14ac:dyDescent="0.25">
      <c r="A51" s="2">
        <v>28</v>
      </c>
      <c r="B51" s="2" t="s">
        <v>75</v>
      </c>
    </row>
    <row r="52" spans="1:4" x14ac:dyDescent="0.25">
      <c r="A52" s="7">
        <v>29</v>
      </c>
      <c r="B52" s="7" t="s">
        <v>76</v>
      </c>
      <c r="C52" s="7"/>
      <c r="D52" s="7"/>
    </row>
    <row r="53" spans="1:4" x14ac:dyDescent="0.25">
      <c r="A53" s="2">
        <v>30</v>
      </c>
      <c r="B53" s="2" t="s">
        <v>77</v>
      </c>
    </row>
    <row r="55" spans="1:4" x14ac:dyDescent="0.25">
      <c r="A55" s="2" t="s">
        <v>78</v>
      </c>
    </row>
    <row r="56" spans="1:4" x14ac:dyDescent="0.25">
      <c r="A56" s="2">
        <v>30</v>
      </c>
      <c r="B56" s="2" t="s">
        <v>79</v>
      </c>
    </row>
    <row r="57" spans="1:4" x14ac:dyDescent="0.25">
      <c r="A57" s="2">
        <v>31</v>
      </c>
      <c r="B57" s="2" t="s">
        <v>80</v>
      </c>
    </row>
    <row r="58" spans="1:4" x14ac:dyDescent="0.25">
      <c r="A58" s="2">
        <v>32</v>
      </c>
      <c r="B58" s="2" t="s">
        <v>81</v>
      </c>
    </row>
    <row r="59" spans="1:4" x14ac:dyDescent="0.25">
      <c r="A59" s="2">
        <v>33</v>
      </c>
      <c r="B59" s="2" t="s">
        <v>82</v>
      </c>
    </row>
    <row r="60" spans="1:4" x14ac:dyDescent="0.25">
      <c r="A60" s="2">
        <v>34</v>
      </c>
      <c r="B60" s="2" t="s">
        <v>83</v>
      </c>
    </row>
    <row r="61" spans="1:4" x14ac:dyDescent="0.25">
      <c r="A61" s="2">
        <v>35</v>
      </c>
      <c r="B61" s="2" t="s">
        <v>84</v>
      </c>
    </row>
    <row r="62" spans="1:4" x14ac:dyDescent="0.25">
      <c r="A62" s="2">
        <v>36</v>
      </c>
      <c r="B62" s="2" t="s">
        <v>85</v>
      </c>
    </row>
    <row r="63" spans="1:4" x14ac:dyDescent="0.25">
      <c r="A63" s="2">
        <v>37</v>
      </c>
      <c r="B63" s="2" t="s">
        <v>86</v>
      </c>
    </row>
    <row r="64" spans="1:4" x14ac:dyDescent="0.25">
      <c r="A64" s="2">
        <v>38</v>
      </c>
      <c r="B64" s="2" t="s">
        <v>87</v>
      </c>
    </row>
    <row r="65" spans="1:2" x14ac:dyDescent="0.25">
      <c r="A65" s="2">
        <v>39</v>
      </c>
      <c r="B65" s="2" t="s">
        <v>88</v>
      </c>
    </row>
    <row r="68" spans="1:2" x14ac:dyDescent="0.25">
      <c r="A68" s="2" t="s">
        <v>89</v>
      </c>
    </row>
    <row r="69" spans="1:2" x14ac:dyDescent="0.25">
      <c r="A69" s="2">
        <v>41</v>
      </c>
      <c r="B69" s="2" t="s">
        <v>90</v>
      </c>
    </row>
    <row r="70" spans="1:2" x14ac:dyDescent="0.25">
      <c r="A70" s="2">
        <v>42</v>
      </c>
      <c r="B70" s="2" t="s">
        <v>91</v>
      </c>
    </row>
    <row r="71" spans="1:2" x14ac:dyDescent="0.25">
      <c r="B71" s="2" t="s">
        <v>92</v>
      </c>
    </row>
    <row r="72" spans="1:2" x14ac:dyDescent="0.25">
      <c r="B72" s="2" t="s">
        <v>93</v>
      </c>
    </row>
    <row r="73" spans="1:2" x14ac:dyDescent="0.25">
      <c r="A73" s="2">
        <v>45</v>
      </c>
      <c r="B73" s="2" t="s">
        <v>94</v>
      </c>
    </row>
    <row r="74" spans="1:2" x14ac:dyDescent="0.25">
      <c r="A74" s="2">
        <v>46</v>
      </c>
      <c r="B74" s="2" t="s">
        <v>95</v>
      </c>
    </row>
    <row r="75" spans="1:2" x14ac:dyDescent="0.25">
      <c r="A75" s="2">
        <v>47</v>
      </c>
      <c r="B75" s="2" t="s">
        <v>96</v>
      </c>
    </row>
    <row r="76" spans="1:2" x14ac:dyDescent="0.25">
      <c r="A76" s="2">
        <v>48</v>
      </c>
      <c r="B76" s="2" t="s">
        <v>97</v>
      </c>
    </row>
    <row r="77" spans="1:2" x14ac:dyDescent="0.25">
      <c r="A77" s="2">
        <v>49</v>
      </c>
      <c r="B77" s="2" t="s">
        <v>98</v>
      </c>
    </row>
    <row r="78" spans="1:2" x14ac:dyDescent="0.25">
      <c r="A78" s="2">
        <v>50</v>
      </c>
      <c r="B78" s="2" t="s">
        <v>99</v>
      </c>
    </row>
    <row r="79" spans="1:2" x14ac:dyDescent="0.25">
      <c r="A79" s="2">
        <v>51</v>
      </c>
      <c r="B79" s="2" t="s">
        <v>100</v>
      </c>
    </row>
    <row r="80" spans="1:2" x14ac:dyDescent="0.25">
      <c r="A80" s="2">
        <v>52</v>
      </c>
      <c r="B80" s="2" t="s">
        <v>101</v>
      </c>
    </row>
    <row r="81" spans="1:2" x14ac:dyDescent="0.25">
      <c r="A81" s="2"/>
      <c r="B81" s="2" t="s">
        <v>102</v>
      </c>
    </row>
    <row r="82" spans="1:2" x14ac:dyDescent="0.25">
      <c r="A82" s="2">
        <v>54</v>
      </c>
      <c r="B82" s="2" t="s">
        <v>103</v>
      </c>
    </row>
  </sheetData>
  <mergeCells count="2">
    <mergeCell ref="A14:C14"/>
    <mergeCell ref="A27:D27"/>
  </mergeCells>
  <dataValidations count="1">
    <dataValidation type="list" allowBlank="1" showErrorMessage="1" sqref="E2:E11" xr:uid="{444CD961-EC34-4672-8A57-B96CE98DBF15}">
      <formula1>"Bangalore,Delhi,Hyderabad,Kolkata,Mumbai,Pune"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I11"/>
  <sheetViews>
    <sheetView workbookViewId="0"/>
  </sheetViews>
  <sheetFormatPr defaultColWidth="12.6640625" defaultRowHeight="15.75" customHeight="1" x14ac:dyDescent="0.25"/>
  <sheetData>
    <row r="2" spans="2:9" x14ac:dyDescent="0.25">
      <c r="B2" s="2" t="s">
        <v>2</v>
      </c>
      <c r="C2" s="2" t="s">
        <v>8</v>
      </c>
      <c r="E2" s="2" t="s">
        <v>4</v>
      </c>
      <c r="F2" s="2" t="s">
        <v>104</v>
      </c>
      <c r="H2" s="2" t="s">
        <v>105</v>
      </c>
      <c r="I2" s="2">
        <v>0</v>
      </c>
    </row>
    <row r="5" spans="2:9" x14ac:dyDescent="0.25">
      <c r="B5" s="2" t="s">
        <v>106</v>
      </c>
      <c r="C5" s="2">
        <f ca="1">IFERROR(__xludf.DUMMYFUNCTION("IFERROR(
  ROWS(FILTER(
    Sheet1!A2:H11,
    IF(OR(C2="""",C2=""All""),TRUE,ISNUMBER(MATCH(Sheet1!C2:C11,TRIM(SPLIT(C2,"","")),0))),
    IF(OR(F2="""",F2=""All""),TRUE,ISNUMBER(MATCH(Sheet1!E2:E11,TRIM(SPLIT(F2,"","")),0))),
    IF(I2="""",TRUE,Sheet1!D"&amp;"2:D11&gt;I2)
  )),
  ""No D"")"),2)</f>
        <v>2</v>
      </c>
      <c r="E5" s="2" t="s">
        <v>107</v>
      </c>
      <c r="F5" s="2">
        <f ca="1">IFERROR(__xludf.DUMMYFUNCTION("IFERROR(
  round(average(FILTER(
    Sheet1!A2:H11,
    IF(OR(C2="""",C2=""All""),TRUE,ISNUMBER(MATCH(Sheet1!C2:C11,TRIM(SPLIT(C2,"","")),0))),
    IF(OR(F2="""",F2=""All""),TRUE,ISNUMBER(MATCH(Sheet1!E2:E11,TRIM(SPLIT(F2,"","")),0))),
    IF(I2="""",TRUE"&amp;",Sheet1!D2:D11&gt;I2)
  )),2),
  ""No Data Found""
)"),21478.56)</f>
        <v>21478.560000000001</v>
      </c>
      <c r="H5" s="2" t="s">
        <v>108</v>
      </c>
      <c r="I5" s="2">
        <f ca="1">IFERROR(__xludf.DUMMYFUNCTION("IFERROR(
  max(FILTER(
    Sheet1!A2:H11,
    IF(OR(C2="""",C2=""All""),TRUE,ISNUMBER(MATCH(Sheet1!C2:C11,TRIM(SPLIT(C2,"","")),0))),
    IF(OR(F2="""",F2=""All""),TRUE,ISNUMBER(MATCH(Sheet1!E2:E11,TRIM(SPLIT(F2,"","")),0))),
    IF(I2="""",TRUE,Sheet1!D2"&amp;":D11&gt;I2)
  )),
  ""No Data Found""
)"),80000)</f>
        <v>80000</v>
      </c>
    </row>
    <row r="9" spans="2:9" x14ac:dyDescent="0.25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spans="2:9" x14ac:dyDescent="0.25">
      <c r="B10" s="1" t="str">
        <f ca="1">IFERROR(__xludf.DUMMYFUNCTION("IFERROR(
  FILTER(
    Sheet1!B2:F11,
    IF(OR(C2="""",C2=""All""),TRUE,ISNUMBER(MATCH(Sheet1!C2:C11,TRIM(SPLIT(C2,"","")),0))),
    IF(OR(F2="""",F2=""All""),TRUE,ISNUMBER(MATCH(Sheet1!E2:E11,TRIM(SPLIT(F2,"","")),0))),
    IF(I2="""",TRUE,Sheet1!D2:D11"&amp;"&gt;I2)
  ),
  ""No D"")"),"Charlie")</f>
        <v>Charlie</v>
      </c>
      <c r="C10" s="1" t="str">
        <f ca="1">IFERROR(__xludf.DUMMYFUNCTION("""COMPUTED_VALUE"""),"IT")</f>
        <v>IT</v>
      </c>
      <c r="D10" s="1">
        <f ca="1">IFERROR(__xludf.DUMMYFUNCTION("""COMPUTED_VALUE"""),70000)</f>
        <v>70000</v>
      </c>
      <c r="E10" s="1" t="str">
        <f ca="1">IFERROR(__xludf.DUMMYFUNCTION("""COMPUTED_VALUE"""),"Bangalore")</f>
        <v>Bangalore</v>
      </c>
      <c r="F10" s="4" t="str">
        <f ca="1">IFERROR(__xludf.DUMMYFUNCTION("""COMPUTED_VALUE"""),"20/07/2021")</f>
        <v>20/07/2021</v>
      </c>
    </row>
    <row r="11" spans="2:9" x14ac:dyDescent="0.25">
      <c r="B11" s="1" t="str">
        <f ca="1">IFERROR(__xludf.DUMMYFUNCTION("""COMPUTED_VALUE"""),"Fiona")</f>
        <v>Fiona</v>
      </c>
      <c r="C11" s="1" t="str">
        <f ca="1">IFERROR(__xludf.DUMMYFUNCTION("""COMPUTED_VALUE"""),"IT")</f>
        <v>IT</v>
      </c>
      <c r="D11" s="1">
        <f ca="1">IFERROR(__xludf.DUMMYFUNCTION("""COMPUTED_VALUE"""),80000)</f>
        <v>80000</v>
      </c>
      <c r="E11" s="1" t="str">
        <f ca="1">IFERROR(__xludf.DUMMYFUNCTION("""COMPUTED_VALUE"""),"Hyderabad")</f>
        <v>Hyderabad</v>
      </c>
      <c r="F11" s="4">
        <f ca="1">IFERROR(__xludf.DUMMYFUNCTION("""COMPUTED_VALUE"""),43081)</f>
        <v>43081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Sheet1!$C$2:$C$11</xm:f>
          </x14:formula1>
          <xm:sqref>C2</xm:sqref>
        </x14:dataValidation>
        <x14:dataValidation type="list" allowBlank="1" showErrorMessage="1" xr:uid="{00000000-0002-0000-0100-000001000000}">
          <x14:formula1>
            <xm:f>Sheet1!$E$2:$E$11</xm:f>
          </x14:formula1>
          <xm:sqref>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2026-04-17T06:13:05Z</dcterms:created>
  <dcterms:modified xsi:type="dcterms:W3CDTF">2026-04-17T06:15:50Z</dcterms:modified>
</cp:coreProperties>
</file>